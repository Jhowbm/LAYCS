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retrizes" sheetId="1" r:id="rId4"/>
    <sheet state="visible" name="Ciclo 1" sheetId="2" r:id="rId5"/>
    <sheet state="visible" name="Ciclo 2" sheetId="3" r:id="rId6"/>
    <sheet state="visible" name="Ciclo 3" sheetId="4" r:id="rId7"/>
    <sheet state="visible" name="Ciclo 4" sheetId="5" r:id="rId8"/>
    <sheet state="visible" name="Ciclo 5" sheetId="6" r:id="rId9"/>
    <sheet state="hidden" name="Apoio" sheetId="7" r:id="rId10"/>
  </sheets>
  <definedNames/>
  <calcPr/>
</workbook>
</file>

<file path=xl/sharedStrings.xml><?xml version="1.0" encoding="utf-8"?>
<sst xmlns="http://schemas.openxmlformats.org/spreadsheetml/2006/main" count="419" uniqueCount="79">
  <si>
    <t>Ciclos</t>
  </si>
  <si>
    <t>Ciclo 1</t>
  </si>
  <si>
    <t>Ciclo 2</t>
  </si>
  <si>
    <t>Ciclo 3</t>
  </si>
  <si>
    <t>Ciclo 4</t>
  </si>
  <si>
    <t>Ciclo 5</t>
  </si>
  <si>
    <t>Banca Inicial</t>
  </si>
  <si>
    <t>Entradas/Obj*</t>
  </si>
  <si>
    <t>Stake Inicial de Cada Ciclo</t>
  </si>
  <si>
    <t>Objetivo jogo por jogo</t>
  </si>
  <si>
    <t>Fator de redução</t>
  </si>
  <si>
    <t>Obj. Jogo 1</t>
  </si>
  <si>
    <t>Fator de red.</t>
  </si>
  <si>
    <t>Parar com % de lucro</t>
  </si>
  <si>
    <t>Objetivo do Ciclo Chegar ate:</t>
  </si>
  <si>
    <t>Saldo Atual do Ciclo</t>
  </si>
  <si>
    <t>Lucro teórico</t>
  </si>
  <si>
    <t>Lucro teórico %</t>
  </si>
  <si>
    <t>Lucro do Ciclo</t>
  </si>
  <si>
    <t>Saque Teórico</t>
  </si>
  <si>
    <t>Saque Real</t>
  </si>
  <si>
    <t>Lucro Atual</t>
  </si>
  <si>
    <t>Lucro Final</t>
  </si>
  <si>
    <t>Método de Ciclos - Nettuno</t>
  </si>
  <si>
    <t>Estratégia</t>
  </si>
  <si>
    <t>Entradas</t>
  </si>
  <si>
    <t>Valor</t>
  </si>
  <si>
    <t>%Médio</t>
  </si>
  <si>
    <t>%Total</t>
  </si>
  <si>
    <t>O método deve ser aplicado em Exchange, para você poder utilizar o lay. Não é possivel fazer o Método de Ciclos em casas de apostas. Abaixo seguem as 2 melhores opções de exchanges.</t>
  </si>
  <si>
    <t xml:space="preserve">Bolsa de Aposta, melhor custo benefício de exchange no mercado. </t>
  </si>
  <si>
    <t>Betfair, Bonûs de R$200 ao abrir a conta.</t>
  </si>
  <si>
    <t>Totais</t>
  </si>
  <si>
    <t>Aplique o Método de Ciclos de maneira eficiente</t>
  </si>
  <si>
    <t>Campeonato</t>
  </si>
  <si>
    <t>Equipe</t>
  </si>
  <si>
    <t>Banca</t>
  </si>
  <si>
    <t>Obj/Banca</t>
  </si>
  <si>
    <t>Obj./Banca</t>
  </si>
  <si>
    <t>Jogo</t>
  </si>
  <si>
    <t>Trabalho</t>
  </si>
  <si>
    <t>Teórica</t>
  </si>
  <si>
    <t>Lucro</t>
  </si>
  <si>
    <t>%S.B. Trab</t>
  </si>
  <si>
    <t>Resíduo</t>
  </si>
  <si>
    <t>Objetivo</t>
  </si>
  <si>
    <t>Início</t>
  </si>
  <si>
    <t xml:space="preserve"> </t>
  </si>
  <si>
    <t>Fim</t>
  </si>
  <si>
    <t>Banca Atual</t>
  </si>
  <si>
    <t>Lucro do ciclo</t>
  </si>
  <si>
    <t>Saque</t>
  </si>
  <si>
    <t>Lucro %</t>
  </si>
  <si>
    <t>Parar com</t>
  </si>
  <si>
    <t>Desempenho por Estratégia</t>
  </si>
  <si>
    <t>Qt</t>
  </si>
  <si>
    <t>Desempenho por Campeonato</t>
  </si>
  <si>
    <t>Desempenho por Clube</t>
  </si>
  <si>
    <t>Clube</t>
  </si>
  <si>
    <t xml:space="preserve">  </t>
  </si>
  <si>
    <t>Residuo</t>
  </si>
  <si>
    <t>Ligas</t>
  </si>
  <si>
    <t>Clubes</t>
  </si>
  <si>
    <t>Todos os Camps</t>
  </si>
  <si>
    <t/>
  </si>
  <si>
    <t>Alemanha</t>
  </si>
  <si>
    <t>Bundesliga</t>
  </si>
  <si>
    <t>Bélgica</t>
  </si>
  <si>
    <t>Bélgica 1ª Divisão A</t>
  </si>
  <si>
    <t>Brasileirão</t>
  </si>
  <si>
    <t>Champions League</t>
  </si>
  <si>
    <t>Espanha 2 Liga</t>
  </si>
  <si>
    <t>Europa  League</t>
  </si>
  <si>
    <t>Finlândia Ykkönen</t>
  </si>
  <si>
    <t>França Ligue 1</t>
  </si>
  <si>
    <t>México Apertura</t>
  </si>
  <si>
    <t>MLS</t>
  </si>
  <si>
    <t>Série B</t>
  </si>
  <si>
    <t>Brasileirão Série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</si>
</sst>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[$$ -416]#,##0.00;_(* &quot;-&quot;_)"/>
    <numFmt numFmtId="165" formatCode="_-[$$-409]* #,##0.00_ ;_-[$$-409]* \-#,##0.00\ ;_-[$$-409]* \-??_ ;_-@_ "/>
    <numFmt numFmtId="166" formatCode="0.0%"/>
    <numFmt numFmtId="167" formatCode="#,##0_);(#,##0);_(* &quot;-&quot;_)"/>
    <numFmt numFmtId="168" formatCode="#,##0.00_);(#,##0.00);_(* &quot;-&quot;_)"/>
    <numFmt numFmtId="169" formatCode="0.00%;_(* &quot;-&quot;_);-"/>
    <numFmt numFmtId="170" formatCode="D/M/YYYY"/>
    <numFmt numFmtId="171" formatCode="[$$ ]#,##0.00"/>
    <numFmt numFmtId="172" formatCode="_-* #,##0.00_-;\-* #,##0.00_-;_-* \-??_-;_-@"/>
    <numFmt numFmtId="173" formatCode="_($* #,##0.00_);_($* (#,##0.00);_(* &quot;-&quot;_);_(@_)"/>
    <numFmt numFmtId="174" formatCode="[$R$ -416]#,##0.00"/>
  </numFmts>
  <fonts count="46">
    <font>
      <sz val="11.0"/>
      <color rgb="FF000000"/>
      <name val="Calibri"/>
    </font>
    <font>
      <sz val="16.0"/>
      <color rgb="FF000000"/>
      <name val="Calibri"/>
    </font>
    <font>
      <name val="Calibri"/>
    </font>
    <font>
      <b/>
      <sz val="15.0"/>
      <color rgb="FFFFFFFF"/>
      <name val="Calibri"/>
    </font>
    <font>
      <b/>
      <sz val="16.0"/>
      <color rgb="FFFFFFFF"/>
      <name val="Calibri"/>
    </font>
    <font>
      <b/>
      <sz val="15.0"/>
      <color rgb="FF22335B"/>
      <name val="Calibri"/>
    </font>
    <font>
      <sz val="15.0"/>
      <name val="Calibri"/>
    </font>
    <font>
      <b/>
      <sz val="16.0"/>
      <name val="Calibri"/>
    </font>
    <font>
      <sz val="15.0"/>
      <color rgb="FF000000"/>
      <name val="Calibri"/>
    </font>
    <font>
      <b/>
      <sz val="14.0"/>
      <color rgb="FFFFFFFF"/>
      <name val="Calibri"/>
    </font>
    <font>
      <b/>
      <sz val="15.0"/>
      <name val="Calibri"/>
    </font>
    <font>
      <b/>
      <sz val="24.0"/>
      <color rgb="FFFFFFFF"/>
      <name val="Calibri"/>
    </font>
    <font>
      <color rgb="FF000000"/>
      <name val="Calibri"/>
    </font>
    <font>
      <u/>
      <sz val="8.0"/>
      <color rgb="FF1155CC"/>
      <name val="Calibri"/>
    </font>
    <font>
      <b/>
      <color rgb="FFFFFFFF"/>
      <name val="Calibri"/>
    </font>
    <font>
      <b/>
      <sz val="11.0"/>
      <color rgb="FFFFFFFF"/>
      <name val="Calibri"/>
    </font>
    <font>
      <u/>
      <color rgb="FF1155CC"/>
      <name val="Calibri"/>
    </font>
    <font>
      <b/>
      <sz val="12.0"/>
      <color rgb="FFFFFFFF"/>
      <name val="Calibri"/>
    </font>
    <font>
      <sz val="11.0"/>
      <name val="Calibri"/>
    </font>
    <font>
      <b/>
      <u/>
      <sz val="14.0"/>
      <color rgb="FF0000FF"/>
      <name val="Calibri"/>
    </font>
    <font>
      <b/>
      <name val="Calibri"/>
    </font>
    <font>
      <b/>
      <sz val="11.0"/>
      <color rgb="FF000000"/>
      <name val="Calibri"/>
    </font>
    <font>
      <b/>
      <u/>
      <sz val="14.0"/>
      <color rgb="FFFFFFFF"/>
      <name val="Calibri"/>
    </font>
    <font>
      <sz val="11.0"/>
      <color rgb="FFF3F3F3"/>
      <name val="Droid Sans"/>
    </font>
    <font>
      <b/>
      <sz val="11.0"/>
      <color rgb="FFFFFFFF"/>
      <name val="Droid Sans"/>
    </font>
    <font>
      <b/>
      <sz val="11.0"/>
      <color rgb="FF000000"/>
      <name val="Droid Sans"/>
    </font>
    <font>
      <sz val="11.0"/>
      <color rgb="FF000000"/>
      <name val="Droid Sans"/>
    </font>
    <font>
      <sz val="11.0"/>
      <color rgb="FFCCCCCC"/>
      <name val="Droid Sans"/>
    </font>
    <font>
      <sz val="18.0"/>
      <color rgb="FFFFFFFF"/>
      <name val="Droid Sans"/>
    </font>
    <font>
      <sz val="14.0"/>
      <color rgb="FFFFFFFF"/>
      <name val="Droid Sans"/>
    </font>
    <font>
      <sz val="14.0"/>
      <color rgb="FF000000"/>
      <name val="Droid Sans"/>
    </font>
    <font>
      <sz val="14.0"/>
      <name val="Droid Sans"/>
    </font>
    <font>
      <sz val="8.0"/>
      <color rgb="FFCCCCCC"/>
      <name val="Droid Sans"/>
    </font>
    <font>
      <sz val="10.0"/>
      <name val="Droid Sans"/>
    </font>
    <font>
      <b/>
      <sz val="12.0"/>
      <color rgb="FF1C4587"/>
      <name val="Droid Sans"/>
    </font>
    <font>
      <b/>
      <sz val="10.0"/>
      <color rgb="FFFFFFFF"/>
      <name val="Droid Sans"/>
    </font>
    <font>
      <sz val="10.0"/>
      <color rgb="FF000000"/>
      <name val="Droid Sans"/>
    </font>
    <font>
      <name val="Droid Sans"/>
    </font>
    <font>
      <sz val="11.0"/>
      <color rgb="FF38761D"/>
      <name val="Droid Sans"/>
    </font>
    <font>
      <sz val="11.0"/>
      <color rgb="FFFFFFFF"/>
      <name val="Droid Sans"/>
    </font>
    <font>
      <sz val="11.0"/>
      <color rgb="FF434343"/>
      <name val="Droid Sans"/>
    </font>
    <font>
      <sz val="11.0"/>
      <color rgb="FF095BA6"/>
      <name val="Droid Sans"/>
    </font>
    <font>
      <b/>
      <sz val="11.0"/>
      <color rgb="FF38761D"/>
      <name val="Droid Sans"/>
    </font>
    <font/>
    <font>
      <sz val="11.0"/>
      <color rgb="FF000000"/>
      <name val="Inconsolata"/>
    </font>
    <font>
      <sz val="10.0"/>
      <color rgb="FF000000"/>
      <name val="Inconsolata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2335B"/>
        <bgColor rgb="FF22335B"/>
      </patternFill>
    </fill>
    <fill>
      <patternFill patternType="solid">
        <fgColor rgb="FF82C99E"/>
        <bgColor rgb="FF82C99E"/>
      </patternFill>
    </fill>
    <fill>
      <patternFill patternType="solid">
        <fgColor rgb="FFE0D9D6"/>
        <bgColor rgb="FFE0D9D6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0B5394"/>
        <bgColor rgb="FF0B5394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666666"/>
        <bgColor rgb="FF666666"/>
      </patternFill>
    </fill>
    <fill>
      <patternFill patternType="solid">
        <fgColor rgb="FF76A5AF"/>
        <bgColor rgb="FF76A5AF"/>
      </patternFill>
    </fill>
    <fill>
      <patternFill patternType="solid">
        <fgColor rgb="FF70AD47"/>
        <bgColor rgb="FF70AD47"/>
      </patternFill>
    </fill>
    <fill>
      <patternFill patternType="solid">
        <fgColor rgb="FFE06666"/>
        <bgColor rgb="FFE06666"/>
      </patternFill>
    </fill>
    <fill>
      <patternFill patternType="solid">
        <fgColor rgb="FF385724"/>
        <bgColor rgb="FF385724"/>
      </patternFill>
    </fill>
    <fill>
      <patternFill patternType="solid">
        <fgColor rgb="FF3D85C6"/>
        <bgColor rgb="FF3D85C6"/>
      </patternFill>
    </fill>
    <fill>
      <patternFill patternType="solid">
        <fgColor rgb="FFE2F0D9"/>
        <bgColor rgb="FFE2F0D9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134F5C"/>
        <bgColor rgb="FF134F5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32">
    <border/>
    <border>
      <left/>
      <right/>
      <top/>
      <bottom/>
    </border>
    <border>
      <left/>
      <right/>
      <top/>
    </border>
    <border>
      <lef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/>
      <bottom/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FFFFFF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</border>
    <border>
      <left style="medium">
        <color rgb="FFFFFFFF"/>
      </left>
      <bottom style="medium">
        <color rgb="FFFFFFFF"/>
      </bottom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top style="medium">
        <color rgb="FFFFFFFF"/>
      </top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  <bottom style="thin">
        <color rgb="FFFFFFFF"/>
      </bottom>
    </border>
    <border>
      <left style="thin">
        <color rgb="FF1C4587"/>
      </left>
      <right style="thin">
        <color rgb="FFFFFFFF"/>
      </right>
      <top style="thin">
        <color rgb="FF1C4587"/>
      </top>
    </border>
    <border>
      <left style="thin">
        <color rgb="FFFFFFFF"/>
      </left>
      <right style="thin">
        <color rgb="FFFFFFFF"/>
      </right>
      <top style="thin">
        <color rgb="FF1C4587"/>
      </top>
    </border>
    <border>
      <left style="thin">
        <color rgb="FFFFFFFF"/>
      </left>
      <right style="thin">
        <color rgb="FF1C4587"/>
      </right>
      <top style="thin">
        <color rgb="FF1C4587"/>
      </top>
    </border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0" fillId="0" fontId="2" numFmtId="0" xfId="0" applyFont="1"/>
    <xf borderId="3" fillId="2" fontId="1" numFmtId="0" xfId="0" applyAlignment="1" applyBorder="1" applyFont="1">
      <alignment shrinkToFit="0" vertical="bottom" wrapText="0"/>
    </xf>
    <xf borderId="4" fillId="3" fontId="3" numFmtId="0" xfId="0" applyAlignment="1" applyBorder="1" applyFill="1" applyFont="1">
      <alignment horizontal="center" shrinkToFit="0" vertical="center" wrapText="0"/>
    </xf>
    <xf borderId="5" fillId="2" fontId="1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horizontal="center" shrinkToFit="0" vertical="center" wrapText="0"/>
    </xf>
    <xf borderId="7" fillId="3" fontId="3" numFmtId="0" xfId="0" applyAlignment="1" applyBorder="1" applyFont="1">
      <alignment horizontal="center" readingOrder="0" shrinkToFit="0" vertical="center" wrapText="0"/>
    </xf>
    <xf borderId="8" fillId="2" fontId="1" numFmtId="0" xfId="0" applyAlignment="1" applyBorder="1" applyFont="1">
      <alignment shrinkToFit="0" vertical="bottom" wrapText="0"/>
    </xf>
    <xf borderId="9" fillId="2" fontId="4" numFmtId="0" xfId="0" applyAlignment="1" applyBorder="1" applyFont="1">
      <alignment readingOrder="0" shrinkToFit="0" vertical="bottom" wrapText="0"/>
    </xf>
    <xf borderId="4" fillId="4" fontId="5" numFmtId="0" xfId="0" applyAlignment="1" applyBorder="1" applyFill="1" applyFont="1">
      <alignment readingOrder="0" shrinkToFit="0" vertical="center" wrapText="0"/>
    </xf>
    <xf borderId="4" fillId="5" fontId="6" numFmtId="164" xfId="0" applyAlignment="1" applyBorder="1" applyFill="1" applyFont="1" applyNumberFormat="1">
      <alignment horizontal="center" readingOrder="0" shrinkToFit="0" vertical="center" wrapText="0"/>
    </xf>
    <xf borderId="4" fillId="5" fontId="6" numFmtId="164" xfId="0" applyAlignment="1" applyBorder="1" applyFont="1" applyNumberFormat="1">
      <alignment horizontal="center" shrinkToFit="0" vertical="center" wrapText="0"/>
    </xf>
    <xf borderId="10" fillId="6" fontId="3" numFmtId="164" xfId="0" applyAlignment="1" applyBorder="1" applyFill="1" applyFont="1" applyNumberForma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11" fillId="2" fontId="7" numFmtId="165" xfId="0" applyAlignment="1" applyBorder="1" applyFont="1" applyNumberFormat="1">
      <alignment horizontal="left" shrinkToFit="0" vertical="bottom" wrapText="0"/>
    </xf>
    <xf borderId="4" fillId="7" fontId="6" numFmtId="166" xfId="0" applyAlignment="1" applyBorder="1" applyFill="1" applyFont="1" applyNumberFormat="1">
      <alignment horizontal="center" readingOrder="0" shrinkToFit="0" vertical="center" wrapText="0"/>
    </xf>
    <xf borderId="8" fillId="2" fontId="1" numFmtId="0" xfId="0" applyAlignment="1" applyBorder="1" applyFont="1">
      <alignment shrinkToFit="0" vertical="center" wrapText="0"/>
    </xf>
    <xf borderId="12" fillId="2" fontId="8" numFmtId="0" xfId="0" applyAlignment="1" applyBorder="1" applyFont="1">
      <alignment readingOrder="0" shrinkToFit="0" vertical="center" wrapText="0"/>
    </xf>
    <xf borderId="12" fillId="2" fontId="8" numFmtId="0" xfId="0" applyAlignment="1" applyBorder="1" applyFont="1">
      <alignment shrinkToFit="0" vertical="center" wrapText="0"/>
    </xf>
    <xf borderId="4" fillId="4" fontId="5" numFmtId="0" xfId="0" applyAlignment="1" applyBorder="1" applyFont="1">
      <alignment shrinkToFit="0" vertical="center" wrapText="0"/>
    </xf>
    <xf borderId="4" fillId="5" fontId="6" numFmtId="166" xfId="0" applyAlignment="1" applyBorder="1" applyFont="1" applyNumberFormat="1">
      <alignment horizontal="center" shrinkToFit="0" vertical="center" wrapText="0"/>
    </xf>
    <xf borderId="6" fillId="3" fontId="3" numFmtId="0" xfId="0" applyAlignment="1" applyBorder="1" applyFont="1">
      <alignment horizontal="center" readingOrder="0" shrinkToFit="0" vertical="center" wrapText="0"/>
    </xf>
    <xf borderId="13" fillId="3" fontId="3" numFmtId="0" xfId="0" applyAlignment="1" applyBorder="1" applyFont="1">
      <alignment horizontal="center" readingOrder="0" shrinkToFit="0" vertical="center" wrapText="0"/>
    </xf>
    <xf borderId="4" fillId="7" fontId="6" numFmtId="9" xfId="0" applyAlignment="1" applyBorder="1" applyFont="1" applyNumberFormat="1">
      <alignment horizontal="center" readingOrder="0" shrinkToFit="0" vertical="center" wrapText="0"/>
    </xf>
    <xf borderId="14" fillId="6" fontId="3" numFmtId="10" xfId="0" applyAlignment="1" applyBorder="1" applyFont="1" applyNumberFormat="1">
      <alignment horizontal="center" readingOrder="0" shrinkToFit="0" vertical="center" wrapText="0"/>
    </xf>
    <xf borderId="15" fillId="6" fontId="3" numFmtId="166" xfId="0" applyAlignment="1" applyBorder="1" applyFont="1" applyNumberFormat="1">
      <alignment horizontal="center" readingOrder="0" shrinkToFit="0" vertical="center" wrapText="0"/>
    </xf>
    <xf borderId="0" fillId="0" fontId="8" numFmtId="0" xfId="0" applyAlignment="1" applyFont="1">
      <alignment shrinkToFit="0" vertical="center" wrapText="0"/>
    </xf>
    <xf borderId="4" fillId="7" fontId="6" numFmtId="164" xfId="0" applyAlignment="1" applyBorder="1" applyFont="1" applyNumberFormat="1">
      <alignment horizontal="center" shrinkToFit="0" vertical="center" wrapText="0"/>
    </xf>
    <xf borderId="13" fillId="3" fontId="9" numFmtId="0" xfId="0" applyAlignment="1" applyBorder="1" applyFont="1">
      <alignment horizontal="center" readingOrder="0" shrinkToFit="0" vertical="center" wrapText="0"/>
    </xf>
    <xf borderId="4" fillId="5" fontId="8" numFmtId="164" xfId="0" applyAlignment="1" applyBorder="1" applyFont="1" applyNumberFormat="1">
      <alignment horizontal="center" shrinkToFit="0" vertical="center" wrapText="0"/>
    </xf>
    <xf borderId="14" fillId="8" fontId="10" numFmtId="164" xfId="0" applyAlignment="1" applyBorder="1" applyFill="1" applyFont="1" applyNumberFormat="1">
      <alignment horizontal="center" shrinkToFit="0" vertical="center" wrapText="0"/>
    </xf>
    <xf borderId="15" fillId="9" fontId="10" numFmtId="10" xfId="0" applyAlignment="1" applyBorder="1" applyFill="1" applyFont="1" applyNumberFormat="1">
      <alignment horizontal="center" shrinkToFit="0" vertical="center" wrapText="0"/>
    </xf>
    <xf borderId="4" fillId="7" fontId="6" numFmtId="164" xfId="0" applyAlignment="1" applyBorder="1" applyFont="1" applyNumberFormat="1">
      <alignment horizontal="center" readingOrder="0" shrinkToFit="0" vertical="center" wrapText="0"/>
    </xf>
    <xf borderId="0" fillId="0" fontId="6" numFmtId="0" xfId="0" applyAlignment="1" applyFont="1">
      <alignment vertical="center"/>
    </xf>
    <xf borderId="4" fillId="5" fontId="6" numFmtId="165" xfId="0" applyAlignment="1" applyBorder="1" applyFont="1" applyNumberFormat="1">
      <alignment horizontal="center" shrinkToFit="0" vertical="center" wrapText="0"/>
    </xf>
    <xf borderId="4" fillId="5" fontId="8" numFmtId="165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vertical="center"/>
    </xf>
    <xf borderId="0" fillId="0" fontId="0" numFmtId="0" xfId="0" applyAlignment="1" applyFont="1">
      <alignment shrinkToFit="0" vertical="center" wrapText="0"/>
    </xf>
    <xf borderId="0" fillId="3" fontId="11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2" numFmtId="0" xfId="0" applyAlignment="1" applyFont="1">
      <alignment horizontal="left" readingOrder="0" vertical="bottom"/>
    </xf>
    <xf borderId="0" fillId="0" fontId="13" numFmtId="0" xfId="0" applyAlignment="1" applyFont="1">
      <alignment readingOrder="0"/>
    </xf>
    <xf borderId="16" fillId="0" fontId="14" numFmtId="0" xfId="0" applyAlignment="1" applyBorder="1" applyFont="1">
      <alignment readingOrder="0" vertical="center"/>
    </xf>
    <xf borderId="17" fillId="0" fontId="14" numFmtId="0" xfId="0" applyAlignment="1" applyBorder="1" applyFont="1">
      <alignment horizontal="center" readingOrder="0" vertical="center"/>
    </xf>
    <xf borderId="18" fillId="0" fontId="15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/>
    </xf>
    <xf borderId="0" fillId="0" fontId="16" numFmtId="0" xfId="0" applyAlignment="1" applyFont="1">
      <alignment readingOrder="0"/>
    </xf>
    <xf borderId="19" fillId="0" fontId="12" numFmtId="0" xfId="0" applyAlignment="1" applyBorder="1" applyFont="1">
      <alignment horizontal="left" readingOrder="0" vertical="bottom"/>
    </xf>
    <xf borderId="4" fillId="0" fontId="2" numFmtId="167" xfId="0" applyAlignment="1" applyBorder="1" applyFont="1" applyNumberFormat="1">
      <alignment horizontal="center"/>
    </xf>
    <xf borderId="4" fillId="0" fontId="2" numFmtId="168" xfId="0" applyAlignment="1" applyBorder="1" applyFont="1" applyNumberFormat="1">
      <alignment horizontal="center"/>
    </xf>
    <xf borderId="4" fillId="0" fontId="2" numFmtId="10" xfId="0" applyAlignment="1" applyBorder="1" applyFont="1" applyNumberFormat="1">
      <alignment horizontal="center"/>
    </xf>
    <xf borderId="20" fillId="0" fontId="2" numFmtId="169" xfId="0" applyAlignment="1" applyBorder="1" applyFont="1" applyNumberFormat="1">
      <alignment horizontal="center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11" fontId="19" numFmtId="0" xfId="0" applyAlignment="1" applyFill="1" applyFont="1">
      <alignment horizontal="center" readingOrder="0" shrinkToFit="0" vertical="center" wrapText="1"/>
    </xf>
    <xf borderId="19" fillId="0" fontId="2" numFmtId="0" xfId="0" applyAlignment="1" applyBorder="1" applyFont="1">
      <alignment readingOrder="0"/>
    </xf>
    <xf borderId="0" fillId="2" fontId="18" numFmtId="0" xfId="0" applyFont="1"/>
    <xf borderId="21" fillId="0" fontId="2" numFmtId="0" xfId="0" applyAlignment="1" applyBorder="1" applyFont="1">
      <alignment readingOrder="0"/>
    </xf>
    <xf borderId="0" fillId="0" fontId="0" numFmtId="0" xfId="0" applyAlignment="1" applyFont="1">
      <alignment horizontal="center" shrinkToFit="0" vertical="center" wrapText="0"/>
    </xf>
    <xf borderId="0" fillId="0" fontId="20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22" fillId="12" fontId="20" numFmtId="0" xfId="0" applyAlignment="1" applyBorder="1" applyFill="1" applyFont="1">
      <alignment readingOrder="0" vertical="center"/>
    </xf>
    <xf borderId="23" fillId="12" fontId="20" numFmtId="167" xfId="0" applyAlignment="1" applyBorder="1" applyFont="1" applyNumberFormat="1">
      <alignment horizontal="center" vertical="center"/>
    </xf>
    <xf borderId="23" fillId="12" fontId="20" numFmtId="168" xfId="0" applyAlignment="1" applyBorder="1" applyFont="1" applyNumberFormat="1">
      <alignment horizontal="center"/>
    </xf>
    <xf borderId="23" fillId="12" fontId="20" numFmtId="10" xfId="0" applyAlignment="1" applyBorder="1" applyFont="1" applyNumberFormat="1">
      <alignment horizontal="center" vertical="center"/>
    </xf>
    <xf borderId="24" fillId="12" fontId="21" numFmtId="10" xfId="0" applyAlignment="1" applyBorder="1" applyFont="1" applyNumberFormat="1">
      <alignment horizontal="center" shrinkToFit="0" vertical="center" wrapText="0"/>
    </xf>
    <xf borderId="0" fillId="10" fontId="22" numFmtId="0" xfId="0" applyAlignment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/>
    </xf>
    <xf borderId="20" fillId="0" fontId="2" numFmtId="0" xfId="0" applyAlignment="1" applyBorder="1" applyFont="1">
      <alignment horizontal="center" readingOrder="0"/>
    </xf>
    <xf borderId="0" fillId="0" fontId="2" numFmtId="10" xfId="0" applyFont="1" applyNumberFormat="1"/>
    <xf borderId="4" fillId="0" fontId="2" numFmtId="10" xfId="0" applyAlignment="1" applyBorder="1" applyFont="1" applyNumberFormat="1">
      <alignment horizontal="center" readingOrder="0"/>
    </xf>
    <xf borderId="20" fillId="0" fontId="2" numFmtId="10" xfId="0" applyAlignment="1" applyBorder="1" applyFont="1" applyNumberFormat="1">
      <alignment horizontal="center" readingOrder="0"/>
    </xf>
    <xf borderId="0" fillId="2" fontId="2" numFmtId="0" xfId="0" applyFont="1"/>
    <xf borderId="25" fillId="0" fontId="2" numFmtId="0" xfId="0" applyAlignment="1" applyBorder="1" applyFont="1">
      <alignment horizontal="center" readingOrder="0"/>
    </xf>
    <xf borderId="25" fillId="0" fontId="2" numFmtId="10" xfId="0" applyAlignment="1" applyBorder="1" applyFont="1" applyNumberFormat="1">
      <alignment horizontal="center" readingOrder="0"/>
    </xf>
    <xf borderId="26" fillId="0" fontId="2" numFmtId="10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25" fillId="0" fontId="2" numFmtId="0" xfId="0" applyAlignment="1" applyBorder="1" applyFont="1">
      <alignment readingOrder="0"/>
    </xf>
    <xf borderId="26" fillId="0" fontId="2" numFmtId="0" xfId="0" applyAlignment="1" applyBorder="1" applyFont="1">
      <alignment readingOrder="0"/>
    </xf>
    <xf borderId="0" fillId="0" fontId="23" numFmtId="0" xfId="0" applyAlignment="1" applyFont="1">
      <alignment horizontal="center" readingOrder="0" shrinkToFit="0" vertical="center" wrapText="0"/>
    </xf>
    <xf borderId="25" fillId="13" fontId="24" numFmtId="0" xfId="0" applyAlignment="1" applyBorder="1" applyFill="1" applyFont="1">
      <alignment horizontal="center" shrinkToFit="0" vertical="center" wrapText="0"/>
    </xf>
    <xf borderId="21" fillId="14" fontId="24" numFmtId="0" xfId="0" applyAlignment="1" applyBorder="1" applyFill="1" applyFont="1">
      <alignment horizontal="center" shrinkToFit="0" vertical="center" wrapText="0"/>
    </xf>
    <xf borderId="27" fillId="15" fontId="24" numFmtId="0" xfId="0" applyAlignment="1" applyBorder="1" applyFill="1" applyFont="1">
      <alignment horizontal="center" readingOrder="0" shrinkToFit="0" vertical="center" wrapText="0"/>
    </xf>
    <xf borderId="25" fillId="16" fontId="24" numFmtId="0" xfId="0" applyAlignment="1" applyBorder="1" applyFill="1" applyFont="1">
      <alignment horizontal="center" readingOrder="0" shrinkToFit="0" vertical="center" wrapText="0"/>
    </xf>
    <xf borderId="27" fillId="17" fontId="24" numFmtId="0" xfId="0" applyAlignment="1" applyBorder="1" applyFill="1" applyFont="1">
      <alignment horizontal="center" readingOrder="0" shrinkToFit="0" vertical="center" wrapText="0"/>
    </xf>
    <xf borderId="26" fillId="6" fontId="24" numFmtId="0" xfId="0" applyAlignment="1" applyBorder="1" applyFont="1">
      <alignment horizontal="center" shrinkToFit="0" vertical="center" wrapText="0"/>
    </xf>
    <xf borderId="26" fillId="15" fontId="24" numFmtId="0" xfId="0" applyAlignment="1" applyBorder="1" applyFont="1">
      <alignment horizontal="center" shrinkToFit="0" vertical="center" wrapText="0"/>
    </xf>
    <xf borderId="27" fillId="0" fontId="25" numFmtId="0" xfId="0" applyAlignment="1" applyBorder="1" applyFont="1">
      <alignment horizontal="center" shrinkToFit="0" vertical="center" wrapText="0"/>
    </xf>
    <xf borderId="0" fillId="0" fontId="26" numFmtId="0" xfId="0" applyAlignment="1" applyFont="1">
      <alignment horizontal="center" shrinkToFit="0" vertical="center" wrapText="0"/>
    </xf>
    <xf borderId="0" fillId="0" fontId="27" numFmtId="0" xfId="0" applyAlignment="1" applyFont="1">
      <alignment horizontal="center" readingOrder="0" shrinkToFit="0" vertical="center" wrapText="0"/>
    </xf>
    <xf borderId="17" fillId="13" fontId="24" numFmtId="0" xfId="0" applyAlignment="1" applyBorder="1" applyFont="1">
      <alignment horizontal="center" shrinkToFit="0" vertical="center" wrapText="0"/>
    </xf>
    <xf borderId="16" fillId="14" fontId="24" numFmtId="0" xfId="0" applyAlignment="1" applyBorder="1" applyFont="1">
      <alignment horizontal="center" shrinkToFit="0" vertical="center" wrapText="0"/>
    </xf>
    <xf borderId="17" fillId="16" fontId="24" numFmtId="0" xfId="0" applyAlignment="1" applyBorder="1" applyFont="1">
      <alignment horizontal="center" readingOrder="0" shrinkToFit="0" vertical="center" wrapText="0"/>
    </xf>
    <xf borderId="18" fillId="6" fontId="24" numFmtId="0" xfId="0" applyAlignment="1" applyBorder="1" applyFont="1">
      <alignment horizontal="center" shrinkToFit="0" vertical="center" wrapText="0"/>
    </xf>
    <xf borderId="18" fillId="15" fontId="24" numFmtId="0" xfId="0" applyAlignment="1" applyBorder="1" applyFont="1">
      <alignment horizontal="center" shrinkToFit="0" vertical="center" wrapText="0"/>
    </xf>
    <xf borderId="27" fillId="17" fontId="24" numFmtId="0" xfId="0" applyAlignment="1" applyBorder="1" applyFont="1">
      <alignment horizontal="center" shrinkToFit="0" vertical="center" wrapText="0"/>
    </xf>
    <xf borderId="0" fillId="0" fontId="28" numFmtId="0" xfId="0" applyAlignment="1" applyFont="1">
      <alignment horizontal="center" readingOrder="0" shrinkToFit="0" vertical="center" wrapText="0"/>
    </xf>
    <xf borderId="16" fillId="18" fontId="29" numFmtId="0" xfId="0" applyAlignment="1" applyBorder="1" applyFill="1" applyFont="1">
      <alignment horizontal="center" readingOrder="0" shrinkToFit="0" vertical="center" wrapText="0"/>
    </xf>
    <xf borderId="18" fillId="6" fontId="29" numFmtId="170" xfId="0" applyAlignment="1" applyBorder="1" applyFont="1" applyNumberFormat="1">
      <alignment horizontal="center" readingOrder="0" shrinkToFit="0" vertical="center" wrapText="0"/>
    </xf>
    <xf borderId="0" fillId="0" fontId="30" numFmtId="0" xfId="0" applyAlignment="1" applyFont="1">
      <alignment horizontal="center" shrinkToFit="0" vertical="center" wrapText="0"/>
    </xf>
    <xf borderId="0" fillId="0" fontId="29" numFmtId="0" xfId="0" applyAlignment="1" applyFont="1">
      <alignment horizontal="center" shrinkToFit="0" vertical="center" wrapText="0"/>
    </xf>
    <xf borderId="0" fillId="0" fontId="31" numFmtId="165" xfId="0" applyAlignment="1" applyFont="1" applyNumberFormat="1">
      <alignment horizontal="center" readingOrder="0" shrinkToFit="0" vertical="center" wrapText="0"/>
    </xf>
    <xf borderId="0" fillId="0" fontId="32" numFmtId="165" xfId="0" applyAlignment="1" applyFont="1" applyNumberFormat="1">
      <alignment horizontal="center" readingOrder="0" shrinkToFit="0" vertical="center" wrapText="0"/>
    </xf>
    <xf borderId="17" fillId="0" fontId="26" numFmtId="0" xfId="0" applyAlignment="1" applyBorder="1" applyFont="1">
      <alignment horizontal="center" shrinkToFit="0" vertical="center" wrapText="0"/>
    </xf>
    <xf borderId="17" fillId="0" fontId="26" numFmtId="4" xfId="0" applyAlignment="1" applyBorder="1" applyFont="1" applyNumberFormat="1">
      <alignment horizontal="center" readingOrder="0" shrinkToFit="0" vertical="center" wrapText="0"/>
    </xf>
    <xf borderId="4" fillId="0" fontId="26" numFmtId="4" xfId="0" applyAlignment="1" applyBorder="1" applyFont="1" applyNumberFormat="1">
      <alignment horizontal="center" shrinkToFit="0" vertical="center" wrapText="0"/>
    </xf>
    <xf borderId="17" fillId="0" fontId="25" numFmtId="4" xfId="0" applyAlignment="1" applyBorder="1" applyFont="1" applyNumberFormat="1">
      <alignment horizontal="center" shrinkToFit="0" vertical="center" wrapText="0"/>
    </xf>
    <xf borderId="17" fillId="0" fontId="25" numFmtId="4" xfId="0" applyAlignment="1" applyBorder="1" applyFont="1" applyNumberFormat="1">
      <alignment horizontal="center" readingOrder="0" vertical="center"/>
    </xf>
    <xf borderId="17" fillId="19" fontId="26" numFmtId="10" xfId="0" applyAlignment="1" applyBorder="1" applyFill="1" applyFont="1" applyNumberFormat="1">
      <alignment horizontal="center" shrinkToFit="0" vertical="center" wrapText="0"/>
    </xf>
    <xf borderId="17" fillId="0" fontId="26" numFmtId="165" xfId="0" applyAlignment="1" applyBorder="1" applyFont="1" applyNumberFormat="1">
      <alignment horizontal="center" shrinkToFit="0" vertical="center" wrapText="0"/>
    </xf>
    <xf borderId="17" fillId="0" fontId="25" numFmtId="10" xfId="0" applyAlignment="1" applyBorder="1" applyFont="1" applyNumberFormat="1">
      <alignment horizontal="center" shrinkToFit="0" vertical="center" wrapText="0"/>
    </xf>
    <xf borderId="4" fillId="0" fontId="26" numFmtId="10" xfId="0" applyAlignment="1" applyBorder="1" applyFont="1" applyNumberFormat="1">
      <alignment horizontal="center" shrinkToFit="0" vertical="center" wrapText="0"/>
    </xf>
    <xf borderId="17" fillId="0" fontId="26" numFmtId="171" xfId="0" applyAlignment="1" applyBorder="1" applyFont="1" applyNumberFormat="1">
      <alignment horizontal="center" readingOrder="0" vertical="center"/>
    </xf>
    <xf borderId="4" fillId="0" fontId="26" numFmtId="0" xfId="0" applyAlignment="1" applyBorder="1" applyFont="1">
      <alignment horizontal="left" readingOrder="0" shrinkToFit="0" vertical="center" wrapText="0"/>
    </xf>
    <xf borderId="21" fillId="18" fontId="29" numFmtId="0" xfId="0" applyAlignment="1" applyBorder="1" applyFont="1">
      <alignment horizontal="center" readingOrder="0" shrinkToFit="0" vertical="center" wrapText="0"/>
    </xf>
    <xf borderId="26" fillId="6" fontId="29" numFmtId="170" xfId="0" applyAlignment="1" applyBorder="1" applyFont="1" applyNumberFormat="1">
      <alignment horizontal="center" readingOrder="0" shrinkToFit="0" vertical="center" wrapText="0"/>
    </xf>
    <xf borderId="0" fillId="0" fontId="30" numFmtId="172" xfId="0" applyAlignment="1" applyFont="1" applyNumberFormat="1">
      <alignment horizontal="center" shrinkToFit="0" vertical="center" wrapText="0"/>
    </xf>
    <xf borderId="0" fillId="0" fontId="31" numFmtId="165" xfId="0" applyAlignment="1" applyFont="1" applyNumberFormat="1">
      <alignment horizontal="center" shrinkToFit="0" vertical="center" wrapText="0"/>
    </xf>
    <xf borderId="4" fillId="0" fontId="26" numFmtId="0" xfId="0" applyAlignment="1" applyBorder="1" applyFont="1">
      <alignment horizontal="center" shrinkToFit="0" vertical="center" wrapText="0"/>
    </xf>
    <xf borderId="4" fillId="0" fontId="25" numFmtId="4" xfId="0" applyAlignment="1" applyBorder="1" applyFont="1" applyNumberFormat="1">
      <alignment horizontal="center" shrinkToFit="0" vertical="center" wrapText="0"/>
    </xf>
    <xf borderId="4" fillId="0" fontId="25" numFmtId="4" xfId="0" applyAlignment="1" applyBorder="1" applyFont="1" applyNumberFormat="1">
      <alignment horizontal="center" readingOrder="0" vertical="center"/>
    </xf>
    <xf borderId="4" fillId="0" fontId="26" numFmtId="165" xfId="0" applyAlignment="1" applyBorder="1" applyFont="1" applyNumberFormat="1">
      <alignment horizontal="center" shrinkToFit="0" vertical="center" wrapText="0"/>
    </xf>
    <xf borderId="4" fillId="0" fontId="25" numFmtId="10" xfId="0" applyAlignment="1" applyBorder="1" applyFont="1" applyNumberFormat="1">
      <alignment horizontal="center" shrinkToFit="0" vertical="center" wrapText="0"/>
    </xf>
    <xf borderId="0" fillId="0" fontId="30" numFmtId="172" xfId="0" applyAlignment="1" applyFont="1" applyNumberFormat="1">
      <alignment horizontal="center" readingOrder="0" shrinkToFit="0" vertical="center" wrapText="0"/>
    </xf>
    <xf borderId="4" fillId="0" fontId="26" numFmtId="171" xfId="0" applyAlignment="1" applyBorder="1" applyFont="1" applyNumberFormat="1">
      <alignment horizontal="center" readingOrder="0" vertical="center"/>
    </xf>
    <xf borderId="0" fillId="0" fontId="29" numFmtId="0" xfId="0" applyAlignment="1" applyFont="1">
      <alignment horizontal="center" readingOrder="0" shrinkToFit="0" vertical="center" wrapText="0"/>
    </xf>
    <xf borderId="4" fillId="20" fontId="29" numFmtId="0" xfId="0" applyAlignment="1" applyBorder="1" applyFill="1" applyFont="1">
      <alignment horizontal="center" readingOrder="0" shrinkToFit="0" vertical="center" wrapText="0"/>
    </xf>
    <xf borderId="4" fillId="21" fontId="29" numFmtId="173" xfId="0" applyAlignment="1" applyBorder="1" applyFill="1" applyFont="1" applyNumberFormat="1">
      <alignment horizontal="center" shrinkToFit="0" vertical="center" wrapText="0"/>
    </xf>
    <xf borderId="0" fillId="0" fontId="31" numFmtId="10" xfId="0" applyAlignment="1" applyFont="1" applyNumberFormat="1">
      <alignment horizontal="center" shrinkToFit="0" vertical="center" wrapText="0"/>
    </xf>
    <xf borderId="4" fillId="7" fontId="26" numFmtId="0" xfId="0" applyAlignment="1" applyBorder="1" applyFont="1">
      <alignment horizontal="left" readingOrder="0" shrinkToFit="0" vertical="center" wrapText="0"/>
    </xf>
    <xf borderId="0" fillId="0" fontId="31" numFmtId="0" xfId="0" applyAlignment="1" applyFont="1">
      <alignment horizontal="center" shrinkToFit="0" vertical="center" wrapText="0"/>
    </xf>
    <xf borderId="0" fillId="0" fontId="30" numFmtId="173" xfId="0" applyAlignment="1" applyFont="1" applyNumberFormat="1">
      <alignment horizontal="center" shrinkToFit="0" vertical="center" wrapText="0"/>
    </xf>
    <xf borderId="4" fillId="0" fontId="25" numFmtId="4" xfId="0" applyAlignment="1" applyBorder="1" applyFont="1" applyNumberFormat="1">
      <alignment horizontal="center" readingOrder="0" shrinkToFit="0" vertical="center" wrapText="0"/>
    </xf>
    <xf borderId="18" fillId="6" fontId="29" numFmtId="173" xfId="0" applyAlignment="1" applyBorder="1" applyFont="1" applyNumberFormat="1">
      <alignment horizontal="center" readingOrder="0" shrinkToFit="0" vertical="center" wrapText="0"/>
    </xf>
    <xf borderId="0" fillId="0" fontId="30" numFmtId="165" xfId="0" applyAlignment="1" applyFont="1" applyNumberFormat="1">
      <alignment horizontal="center" shrinkToFit="0" vertical="center" wrapText="0"/>
    </xf>
    <xf borderId="4" fillId="0" fontId="25" numFmtId="10" xfId="0" applyAlignment="1" applyBorder="1" applyFont="1" applyNumberFormat="1">
      <alignment horizontal="center" readingOrder="0" shrinkToFit="0" vertical="center" wrapText="0"/>
    </xf>
    <xf borderId="4" fillId="0" fontId="26" numFmtId="0" xfId="0" applyAlignment="1" applyBorder="1" applyFont="1">
      <alignment horizontal="left" readingOrder="0" vertical="center"/>
    </xf>
    <xf borderId="4" fillId="20" fontId="29" numFmtId="0" xfId="0" applyAlignment="1" applyBorder="1" applyFont="1">
      <alignment horizontal="center" shrinkToFit="0" vertical="center" wrapText="0"/>
    </xf>
    <xf borderId="4" fillId="21" fontId="29" numFmtId="10" xfId="0" applyAlignment="1" applyBorder="1" applyFont="1" applyNumberFormat="1">
      <alignment horizontal="center" shrinkToFit="0" vertical="center" wrapText="0"/>
    </xf>
    <xf borderId="4" fillId="0" fontId="29" numFmtId="0" xfId="0" applyAlignment="1" applyBorder="1" applyFont="1">
      <alignment horizontal="center" shrinkToFit="0" vertical="center" wrapText="0"/>
    </xf>
    <xf borderId="0" fillId="0" fontId="26" numFmtId="0" xfId="0" applyAlignment="1" applyFont="1">
      <alignment horizontal="center" readingOrder="0" shrinkToFit="0" vertical="center" wrapText="0"/>
    </xf>
    <xf borderId="0" fillId="0" fontId="26" numFmtId="172" xfId="0" applyAlignment="1" applyFont="1" applyNumberFormat="1">
      <alignment horizontal="center" shrinkToFit="0" vertical="center" wrapText="0"/>
    </xf>
    <xf borderId="0" fillId="0" fontId="33" numFmtId="0" xfId="0" applyAlignment="1" applyFont="1">
      <alignment horizontal="center" shrinkToFit="0" vertical="center" wrapText="0"/>
    </xf>
    <xf borderId="0" fillId="0" fontId="33" numFmtId="0" xfId="0" applyAlignment="1" applyFont="1">
      <alignment horizontal="center" readingOrder="0" shrinkToFit="0" vertical="center" wrapText="0"/>
    </xf>
    <xf borderId="0" fillId="0" fontId="34" numFmtId="0" xfId="0" applyAlignment="1" applyFont="1">
      <alignment horizontal="left" readingOrder="0" shrinkToFit="0" vertical="center" wrapText="0"/>
    </xf>
    <xf borderId="4" fillId="0" fontId="26" numFmtId="171" xfId="0" applyAlignment="1" applyBorder="1" applyFont="1" applyNumberFormat="1">
      <alignment horizontal="left" readingOrder="0" vertical="center"/>
    </xf>
    <xf borderId="0" fillId="0" fontId="33" numFmtId="165" xfId="0" applyAlignment="1" applyFont="1" applyNumberFormat="1">
      <alignment horizontal="center" readingOrder="0" shrinkToFit="0" vertical="center" wrapText="0"/>
    </xf>
    <xf borderId="28" fillId="22" fontId="35" numFmtId="0" xfId="0" applyAlignment="1" applyBorder="1" applyFill="1" applyFont="1">
      <alignment horizontal="left" readingOrder="0" shrinkToFit="0" vertical="center" wrapText="0"/>
    </xf>
    <xf borderId="29" fillId="22" fontId="35" numFmtId="0" xfId="0" applyAlignment="1" applyBorder="1" applyFont="1">
      <alignment horizontal="center" readingOrder="0" shrinkToFit="0" vertical="center" wrapText="0"/>
    </xf>
    <xf borderId="30" fillId="22" fontId="35" numFmtId="0" xfId="0" applyAlignment="1" applyBorder="1" applyFont="1">
      <alignment horizontal="center" readingOrder="0" shrinkToFit="0" vertical="center" wrapText="0"/>
    </xf>
    <xf borderId="31" fillId="0" fontId="33" numFmtId="0" xfId="0" applyAlignment="1" applyBorder="1" applyFont="1">
      <alignment horizontal="left" shrinkToFit="0" vertical="center" wrapText="0"/>
    </xf>
    <xf borderId="31" fillId="0" fontId="33" numFmtId="174" xfId="0" applyAlignment="1" applyBorder="1" applyFont="1" applyNumberFormat="1">
      <alignment horizontal="center" shrinkToFit="0" vertical="center" wrapText="0"/>
    </xf>
    <xf borderId="31" fillId="0" fontId="36" numFmtId="0" xfId="0" applyAlignment="1" applyBorder="1" applyFont="1">
      <alignment horizontal="center" shrinkToFit="0" vertical="center" wrapText="0"/>
    </xf>
    <xf borderId="31" fillId="0" fontId="36" numFmtId="166" xfId="0" applyAlignment="1" applyBorder="1" applyFont="1" applyNumberFormat="1">
      <alignment horizontal="center" shrinkToFit="0" vertical="center" wrapText="0"/>
    </xf>
    <xf borderId="0" fillId="0" fontId="36" numFmtId="0" xfId="0" applyAlignment="1" applyFont="1">
      <alignment horizontal="center" readingOrder="0" shrinkToFit="0" vertical="center" wrapText="0"/>
    </xf>
    <xf borderId="0" fillId="0" fontId="36" numFmtId="0" xfId="0" applyAlignment="1" applyFont="1">
      <alignment horizontal="center" shrinkToFit="0" vertical="center" wrapText="0"/>
    </xf>
    <xf borderId="0" fillId="0" fontId="37" numFmtId="0" xfId="0" applyAlignment="1" applyFont="1">
      <alignment vertical="center"/>
    </xf>
    <xf borderId="4" fillId="0" fontId="26" numFmtId="171" xfId="0" applyAlignment="1" applyBorder="1" applyFont="1" applyNumberFormat="1">
      <alignment horizontal="center" readingOrder="0" vertical="center"/>
    </xf>
    <xf borderId="4" fillId="0" fontId="26" numFmtId="0" xfId="0" applyAlignment="1" applyBorder="1" applyFont="1">
      <alignment horizontal="center" readingOrder="0" shrinkToFit="0" vertical="center" wrapText="0"/>
    </xf>
    <xf borderId="31" fillId="0" fontId="33" numFmtId="165" xfId="0" applyAlignment="1" applyBorder="1" applyFont="1" applyNumberFormat="1">
      <alignment horizontal="left" shrinkToFit="0" vertical="center" wrapText="0"/>
    </xf>
    <xf borderId="4" fillId="2" fontId="26" numFmtId="0" xfId="0" applyAlignment="1" applyBorder="1" applyFont="1">
      <alignment horizontal="center" readingOrder="0" shrinkToFit="0" vertical="center" wrapText="0"/>
    </xf>
    <xf borderId="0" fillId="0" fontId="26" numFmtId="4" xfId="0" applyAlignment="1" applyFont="1" applyNumberFormat="1">
      <alignment horizontal="center" shrinkToFit="0" vertical="center" wrapText="0"/>
    </xf>
    <xf borderId="0" fillId="0" fontId="25" numFmtId="4" xfId="0" applyAlignment="1" applyFont="1" applyNumberFormat="1">
      <alignment horizontal="center" shrinkToFit="0" vertical="center" wrapText="0"/>
    </xf>
    <xf borderId="0" fillId="0" fontId="25" numFmtId="4" xfId="0" applyAlignment="1" applyFont="1" applyNumberFormat="1">
      <alignment horizontal="center" readingOrder="0" shrinkToFit="0" vertical="center" wrapText="0"/>
    </xf>
    <xf borderId="0" fillId="0" fontId="26" numFmtId="10" xfId="0" applyAlignment="1" applyFont="1" applyNumberFormat="1">
      <alignment horizontal="center" shrinkToFit="0" vertical="center" wrapText="0"/>
    </xf>
    <xf borderId="0" fillId="0" fontId="26" numFmtId="165" xfId="0" applyAlignment="1" applyFont="1" applyNumberFormat="1">
      <alignment horizontal="center" shrinkToFit="0" vertical="center" wrapText="0"/>
    </xf>
    <xf borderId="0" fillId="0" fontId="25" numFmtId="10" xfId="0" applyAlignment="1" applyFont="1" applyNumberFormat="1">
      <alignment horizontal="center" shrinkToFit="0" vertical="center" wrapText="0"/>
    </xf>
    <xf borderId="0" fillId="0" fontId="26" numFmtId="171" xfId="0" applyAlignment="1" applyFont="1" applyNumberFormat="1">
      <alignment horizontal="center" readingOrder="0" vertical="center"/>
    </xf>
    <xf borderId="0" fillId="0" fontId="26" numFmtId="171" xfId="0" applyAlignment="1" applyFont="1" applyNumberFormat="1">
      <alignment horizontal="center" readingOrder="0" vertical="center"/>
    </xf>
    <xf borderId="0" fillId="2" fontId="26" numFmtId="0" xfId="0" applyAlignment="1" applyFont="1">
      <alignment horizontal="center" readingOrder="0" shrinkToFit="0" vertical="center" wrapText="0"/>
    </xf>
    <xf borderId="0" fillId="0" fontId="26" numFmtId="171" xfId="0" applyAlignment="1" applyFont="1" applyNumberFormat="1">
      <alignment horizontal="center" readingOrder="0" vertical="bottom"/>
    </xf>
    <xf borderId="0" fillId="0" fontId="26" numFmtId="171" xfId="0" applyAlignment="1" applyFont="1" applyNumberFormat="1">
      <alignment horizontal="center" readingOrder="0" vertical="bottom"/>
    </xf>
    <xf borderId="0" fillId="0" fontId="24" numFmtId="4" xfId="0" applyAlignment="1" applyFont="1" applyNumberFormat="1">
      <alignment horizontal="center" readingOrder="0" shrinkToFit="0" vertical="center" wrapText="0"/>
    </xf>
    <xf borderId="0" fillId="0" fontId="38" numFmtId="10" xfId="0" applyAlignment="1" applyFont="1" applyNumberFormat="1">
      <alignment horizontal="center" shrinkToFit="0" vertical="center" wrapText="0"/>
    </xf>
    <xf borderId="0" fillId="0" fontId="39" numFmtId="171" xfId="0" applyAlignment="1" applyFont="1" applyNumberFormat="1">
      <alignment horizontal="center" readingOrder="0" vertical="bottom"/>
    </xf>
    <xf borderId="0" fillId="0" fontId="40" numFmtId="171" xfId="0" applyAlignment="1" applyFont="1" applyNumberFormat="1">
      <alignment horizontal="center" readingOrder="0" vertical="bottom"/>
    </xf>
    <xf borderId="0" fillId="2" fontId="41" numFmtId="0" xfId="0" applyAlignment="1" applyFont="1">
      <alignment horizontal="center" readingOrder="0" shrinkToFit="0" vertical="center" wrapText="0"/>
    </xf>
    <xf borderId="0" fillId="0" fontId="42" numFmtId="10" xfId="0" applyAlignment="1" applyFont="1" applyNumberFormat="1">
      <alignment horizontal="center" shrinkToFit="0" vertical="center" wrapText="0"/>
    </xf>
    <xf borderId="0" fillId="0" fontId="24" numFmtId="171" xfId="0" applyAlignment="1" applyFont="1" applyNumberFormat="1">
      <alignment horizontal="center" readingOrder="0" vertical="bottom"/>
    </xf>
    <xf borderId="17" fillId="0" fontId="26" numFmtId="171" xfId="0" applyAlignment="1" applyBorder="1" applyFont="1" applyNumberFormat="1">
      <alignment horizontal="left" readingOrder="0" vertical="center"/>
    </xf>
    <xf borderId="4" fillId="0" fontId="26" numFmtId="171" xfId="0" applyAlignment="1" applyBorder="1" applyFont="1" applyNumberFormat="1">
      <alignment horizontal="left" readingOrder="0" vertical="center"/>
    </xf>
    <xf borderId="0" fillId="0" fontId="41" numFmtId="0" xfId="0" applyAlignment="1" applyFont="1">
      <alignment horizontal="center" readingOrder="0" shrinkToFit="0" vertical="center" wrapText="0"/>
    </xf>
    <xf borderId="0" fillId="0" fontId="43" numFmtId="0" xfId="0" applyAlignment="1" applyFont="1">
      <alignment readingOrder="0"/>
    </xf>
    <xf borderId="0" fillId="0" fontId="43" numFmtId="0" xfId="0" applyAlignment="1" applyFont="1">
      <alignment readingOrder="0"/>
    </xf>
    <xf borderId="0" fillId="13" fontId="43" numFmtId="0" xfId="0" applyFont="1"/>
    <xf borderId="0" fillId="23" fontId="43" numFmtId="1" xfId="0" applyAlignment="1" applyFill="1" applyFont="1" applyNumberFormat="1">
      <alignment readingOrder="0"/>
    </xf>
    <xf borderId="0" fillId="0" fontId="43" numFmtId="10" xfId="0" applyAlignment="1" applyFont="1" applyNumberFormat="1">
      <alignment readingOrder="0"/>
    </xf>
    <xf borderId="0" fillId="24" fontId="43" numFmtId="10" xfId="0" applyAlignment="1" applyFill="1" applyFont="1" applyNumberFormat="1">
      <alignment readingOrder="0"/>
    </xf>
    <xf borderId="0" fillId="0" fontId="43" numFmtId="10" xfId="0" applyFont="1" applyNumberFormat="1"/>
    <xf borderId="0" fillId="0" fontId="43" numFmtId="165" xfId="0" applyFont="1" applyNumberFormat="1"/>
    <xf borderId="0" fillId="0" fontId="43" numFmtId="0" xfId="0" applyFont="1"/>
    <xf borderId="0" fillId="0" fontId="43" numFmtId="10" xfId="0" applyFont="1" applyNumberFormat="1"/>
    <xf borderId="0" fillId="0" fontId="43" numFmtId="165" xfId="0" applyFont="1" applyNumberFormat="1"/>
    <xf borderId="0" fillId="2" fontId="44" numFmtId="0" xfId="0" applyAlignment="1" applyFont="1">
      <alignment horizontal="left"/>
    </xf>
    <xf borderId="0" fillId="0" fontId="43" numFmtId="1" xfId="0" applyFont="1" applyNumberFormat="1"/>
    <xf borderId="0" fillId="24" fontId="43" numFmtId="0" xfId="0" applyAlignment="1" applyFont="1">
      <alignment readingOrder="0"/>
    </xf>
    <xf borderId="0" fillId="2" fontId="45" numFmtId="0" xfId="0" applyAlignment="1" applyFont="1">
      <alignment horizontal="left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/>
      <fill>
        <patternFill patternType="solid">
          <fgColor rgb="FF22335B"/>
          <bgColor rgb="FF22335B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  <color rgb="FF0000FF"/>
      </font>
      <fill>
        <patternFill patternType="solid">
          <fgColor rgb="FF76A5AF"/>
          <bgColor rgb="FF76A5AF"/>
        </patternFill>
      </fill>
      <border/>
    </dxf>
    <dxf>
      <font>
        <b/>
        <color rgb="FFFFFFFF"/>
      </font>
      <fill>
        <patternFill patternType="solid">
          <fgColor rgb="FF274E13"/>
          <bgColor rgb="FF274E13"/>
        </patternFill>
      </fill>
      <border/>
    </dxf>
    <dxf>
      <font>
        <b/>
        <color rgb="FFFFFFFF"/>
      </font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7">
    <tableStyle count="3" pivot="0" name="Diretrizes-style">
      <tableStyleElement dxfId="1" type="headerRow"/>
      <tableStyleElement dxfId="2" type="firstRowStripe"/>
      <tableStyleElement dxfId="3" type="secondRowStripe"/>
    </tableStyle>
    <tableStyle count="2" pivot="0" name="Diretrizes-style 2">
      <tableStyleElement dxfId="4" type="firstRowStripe"/>
      <tableStyleElement dxfId="5" type="secondRowStripe"/>
    </tableStyle>
    <tableStyle count="3" pivot="0" name="Diretrizes-style 3">
      <tableStyleElement dxfId="1" type="headerRow"/>
      <tableStyleElement dxfId="2" type="firstRowStripe"/>
      <tableStyleElement dxfId="3" type="secondRowStripe"/>
    </tableStyle>
    <tableStyle count="3" pivot="0" name="Diretrizes-style 4">
      <tableStyleElement dxfId="1" type="headerRow"/>
      <tableStyleElement dxfId="2" type="firstRowStripe"/>
      <tableStyleElement dxfId="3" type="secondRowStripe"/>
    </tableStyle>
    <tableStyle count="3" pivot="0" name="Diretrizes-style 5">
      <tableStyleElement dxfId="1" type="headerRow"/>
      <tableStyleElement dxfId="2" type="firstRowStripe"/>
      <tableStyleElement dxfId="3" type="secondRowStripe"/>
    </tableStyle>
    <tableStyle count="3" pivot="0" name="Apoio-style">
      <tableStyleElement dxfId="15" type="headerRow"/>
      <tableStyleElement dxfId="5" type="firstRowStripe"/>
      <tableStyleElement dxfId="16" type="secondRowStripe"/>
    </tableStyle>
    <tableStyle count="3" pivot="0" name="Apoio-style 2">
      <tableStyleElement dxfId="15" type="headerRow"/>
      <tableStyleElement dxfId="5" type="firstRowStripe"/>
      <tableStyleElement dxfId="1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Relationship Id="rId3" Type="http://schemas.openxmlformats.org/officeDocument/2006/relationships/image" Target="../media/image6.png"/><Relationship Id="rId4" Type="http://schemas.openxmlformats.org/officeDocument/2006/relationships/image" Target="../media/image8.png"/><Relationship Id="rId5" Type="http://schemas.openxmlformats.org/officeDocument/2006/relationships/image" Target="../media/image5.png"/><Relationship Id="rId6" Type="http://schemas.openxmlformats.org/officeDocument/2006/relationships/image" Target="../media/image4.png"/><Relationship Id="rId7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219075</xdr:colOff>
      <xdr:row>11</xdr:row>
      <xdr:rowOff>238125</xdr:rowOff>
    </xdr:from>
    <xdr:ext cx="1990725" cy="466725"/>
    <xdr:sp>
      <xdr:nvSpPr>
        <xdr:cNvPr id="3" name="Shape 3"/>
        <xdr:cNvSpPr txBox="1"/>
      </xdr:nvSpPr>
      <xdr:spPr>
        <a:xfrm>
          <a:off x="1646175" y="1353950"/>
          <a:ext cx="2931900" cy="654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Droid Sans"/>
              <a:ea typeface="Droid Sans"/>
              <a:cs typeface="Droid Sans"/>
              <a:sym typeface="Droid Sans"/>
            </a:rPr>
            <a:t>*</a:t>
          </a:r>
          <a:r>
            <a:rPr lang="en-US" sz="1200">
              <a:latin typeface="Droid Sans"/>
              <a:ea typeface="Droid Sans"/>
              <a:cs typeface="Droid Sans"/>
              <a:sym typeface="Droid Sans"/>
            </a:rPr>
            <a:t>Informe a quantidade de entradas ou </a:t>
          </a:r>
          <a:endParaRPr sz="1200">
            <a:latin typeface="Droid Sans"/>
            <a:ea typeface="Droid Sans"/>
            <a:cs typeface="Droid Sans"/>
            <a:sym typeface="Droid Sans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Droid Sans"/>
              <a:ea typeface="Droid Sans"/>
              <a:cs typeface="Droid Sans"/>
              <a:sym typeface="Droid Sans"/>
            </a:rPr>
            <a:t> objetivo percentual de lucro por ciclo.</a:t>
          </a:r>
          <a:endParaRPr sz="1200">
            <a:latin typeface="Droid Sans"/>
            <a:ea typeface="Droid Sans"/>
            <a:cs typeface="Droid Sans"/>
            <a:sym typeface="Droid Sans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Droid Sans"/>
              <a:ea typeface="Droid Sans"/>
              <a:cs typeface="Droid Sans"/>
              <a:sym typeface="Droid Sans"/>
            </a:rPr>
            <a:t> </a:t>
          </a:r>
          <a:r>
            <a:rPr lang="en-US" sz="1100">
              <a:latin typeface="Droid Sans"/>
              <a:ea typeface="Droid Sans"/>
              <a:cs typeface="Droid Sans"/>
              <a:sym typeface="Droid Sans"/>
            </a:rPr>
            <a:t>Ex.: 10 ou 100% </a:t>
          </a:r>
          <a:endParaRPr sz="1100">
            <a:latin typeface="Droid Sans"/>
            <a:ea typeface="Droid Sans"/>
            <a:cs typeface="Droid Sans"/>
            <a:sym typeface="Droid Sans"/>
          </a:endParaRPr>
        </a:p>
      </xdr:txBody>
    </xdr:sp>
    <xdr:clientData fLocksWithSheet="0"/>
  </xdr:oneCellAnchor>
  <xdr:oneCellAnchor>
    <xdr:from>
      <xdr:col>9</xdr:col>
      <xdr:colOff>638175</xdr:colOff>
      <xdr:row>76</xdr:row>
      <xdr:rowOff>9525</xdr:rowOff>
    </xdr:from>
    <xdr:ext cx="733425" cy="7334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447675</xdr:colOff>
      <xdr:row>11</xdr:row>
      <xdr:rowOff>152400</xdr:rowOff>
    </xdr:from>
    <xdr:ext cx="466725" cy="466725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104775</xdr:colOff>
      <xdr:row>0</xdr:row>
      <xdr:rowOff>38100</xdr:rowOff>
    </xdr:from>
    <xdr:ext cx="666750" cy="6667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76200</xdr:colOff>
      <xdr:row>0</xdr:row>
      <xdr:rowOff>47625</xdr:rowOff>
    </xdr:from>
    <xdr:ext cx="666750" cy="6667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95250</xdr:colOff>
      <xdr:row>0</xdr:row>
      <xdr:rowOff>28575</xdr:rowOff>
    </xdr:from>
    <xdr:ext cx="666750" cy="6667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76200</xdr:colOff>
      <xdr:row>0</xdr:row>
      <xdr:rowOff>47625</xdr:rowOff>
    </xdr:from>
    <xdr:ext cx="666750" cy="6667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76200</xdr:colOff>
      <xdr:row>0</xdr:row>
      <xdr:rowOff>47625</xdr:rowOff>
    </xdr:from>
    <xdr:ext cx="666750" cy="6667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85725</xdr:colOff>
      <xdr:row>0</xdr:row>
      <xdr:rowOff>95250</xdr:rowOff>
    </xdr:from>
    <xdr:ext cx="666750" cy="6667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552450</xdr:colOff>
      <xdr:row>4</xdr:row>
      <xdr:rowOff>95250</xdr:rowOff>
    </xdr:from>
    <xdr:ext cx="1533525" cy="866775"/>
    <xdr:pic>
      <xdr:nvPicPr>
        <xdr:cNvPr id="0" name="image7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85725</xdr:colOff>
      <xdr:row>4</xdr:row>
      <xdr:rowOff>95250</xdr:rowOff>
    </xdr:from>
    <xdr:ext cx="371475" cy="762000"/>
    <xdr:pic>
      <xdr:nvPicPr>
        <xdr:cNvPr id="0" name="image6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85725</xdr:colOff>
      <xdr:row>9</xdr:row>
      <xdr:rowOff>180975</xdr:rowOff>
    </xdr:from>
    <xdr:ext cx="371475" cy="914400"/>
    <xdr:pic>
      <xdr:nvPicPr>
        <xdr:cNvPr id="0" name="image8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552450</xdr:colOff>
      <xdr:row>9</xdr:row>
      <xdr:rowOff>180975</xdr:rowOff>
    </xdr:from>
    <xdr:ext cx="1714500" cy="1000125"/>
    <xdr:pic>
      <xdr:nvPicPr>
        <xdr:cNvPr id="0" name="image5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85725</xdr:colOff>
      <xdr:row>16</xdr:row>
      <xdr:rowOff>95250</xdr:rowOff>
    </xdr:from>
    <xdr:ext cx="371475" cy="91440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552450</xdr:colOff>
      <xdr:row>16</xdr:row>
      <xdr:rowOff>95250</xdr:rowOff>
    </xdr:from>
    <xdr:ext cx="1714500" cy="1000125"/>
    <xdr:pic>
      <xdr:nvPicPr>
        <xdr:cNvPr id="0" name="image3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6:F33" displayName="Table_1" name="Table_1" id="1">
  <tableColumns count="5">
    <tableColumn name="Estratégia" id="1"/>
    <tableColumn name="Entradas" id="2"/>
    <tableColumn name="Valor" id="3"/>
    <tableColumn name="%Médio" id="4"/>
    <tableColumn name="%Total" id="5"/>
  </tableColumns>
  <tableStyleInfo name="Diretrizes-style" showColumnStripes="0" showFirstColumn="1" showLastColumn="1" showRowStripes="1"/>
</table>
</file>

<file path=xl/tables/table2.xml><?xml version="1.0" encoding="utf-8"?>
<table xmlns="http://schemas.openxmlformats.org/spreadsheetml/2006/main" headerRowCount="0" ref="B35:F35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Diretrizes-style 2" showColumnStripes="0" showFirstColumn="1" showLastColumn="1" showRowStripes="1"/>
</table>
</file>

<file path=xl/tables/table3.xml><?xml version="1.0" encoding="utf-8"?>
<table xmlns="http://schemas.openxmlformats.org/spreadsheetml/2006/main" ref="B37:F57" displayName="Table_3" name="Table_3" id="3">
  <tableColumns count="5">
    <tableColumn name="Campeonato" id="1"/>
    <tableColumn name="Entradas" id="2"/>
    <tableColumn name="Valor" id="3"/>
    <tableColumn name="%Médio" id="4"/>
    <tableColumn name="%Total" id="5"/>
  </tableColumns>
  <tableStyleInfo name="Diretrizes-style 3" showColumnStripes="0" showFirstColumn="1" showLastColumn="1" showRowStripes="1"/>
</table>
</file>

<file path=xl/tables/table4.xml><?xml version="1.0" encoding="utf-8"?>
<table xmlns="http://schemas.openxmlformats.org/spreadsheetml/2006/main" headerRowCount="0" ref="J47" displayName="Table_4" name="Table_4" id="4">
  <tableColumns count="1">
    <tableColumn name="Column1" id="1"/>
  </tableColumns>
  <tableStyleInfo name="Diretrize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B59:F80" displayName="Table_5" name="Table_5" id="5">
  <tableColumns count="5">
    <tableColumn name="Equipe" id="1"/>
    <tableColumn name="Entradas" id="2"/>
    <tableColumn name="Valor" id="3"/>
    <tableColumn name="%Médio" id="4"/>
    <tableColumn name="%Total" id="5"/>
  </tableColumns>
  <tableStyleInfo name="Diretrizes-style 5" showColumnStripes="0" showFirstColumn="1" showLastColumn="1" showRowStripes="1"/>
</table>
</file>

<file path=xl/tables/table6.xml><?xml version="1.0" encoding="utf-8"?>
<table xmlns="http://schemas.openxmlformats.org/spreadsheetml/2006/main" ref="A1:E52" displayName="Table_6" name="Table_6" id="6">
  <tableColumns count="5">
    <tableColumn name="Ligas" id="1"/>
    <tableColumn name="Entradas" id="2"/>
    <tableColumn name="Valor" id="3"/>
    <tableColumn name="%Médio" id="4"/>
    <tableColumn name="%Total" id="5"/>
  </tableColumns>
  <tableStyleInfo name="Apoio-style" showColumnStripes="0" showFirstColumn="1" showLastColumn="1" showRowStripes="1"/>
</table>
</file>

<file path=xl/tables/table7.xml><?xml version="1.0" encoding="utf-8"?>
<table xmlns="http://schemas.openxmlformats.org/spreadsheetml/2006/main" ref="G1:K73" displayName="Table_7" name="Table_7" id="7">
  <tableColumns count="5">
    <tableColumn name="Clubes" id="1"/>
    <tableColumn name="Entradas" id="2"/>
    <tableColumn name="Valor" id="3"/>
    <tableColumn name="%Médio" id="4"/>
    <tableColumn name="%Total" id="5"/>
  </tableColumns>
  <tableStyleInfo name="Apoio-style 2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olsadeaposta.com/" TargetMode="External"/><Relationship Id="rId2" Type="http://schemas.openxmlformats.org/officeDocument/2006/relationships/hyperlink" Target="http://bit.ly/betfair-registro" TargetMode="External"/><Relationship Id="rId3" Type="http://schemas.openxmlformats.org/officeDocument/2006/relationships/hyperlink" Target="https://backlay.trade/" TargetMode="External"/><Relationship Id="rId4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4" Type="http://schemas.openxmlformats.org/officeDocument/2006/relationships/table" Target="../tables/table5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5.57"/>
    <col customWidth="1" min="3" max="7" width="13.43"/>
    <col customWidth="1" min="8" max="8" width="3.57"/>
    <col customWidth="1" min="9" max="10" width="18.43"/>
    <col customWidth="1" min="11" max="11" width="4.43"/>
    <col customWidth="1" hidden="1" min="12" max="12" width="34.43"/>
    <col customWidth="1" hidden="1" min="13" max="15" width="8.71"/>
  </cols>
  <sheetData>
    <row r="1" ht="15.0" customHeight="1">
      <c r="A1" s="1"/>
      <c r="B1" s="2"/>
      <c r="C1" s="2"/>
      <c r="D1" s="2"/>
      <c r="E1" s="2"/>
      <c r="F1" s="2"/>
      <c r="G1" s="2"/>
      <c r="H1" s="1"/>
      <c r="I1" s="2"/>
      <c r="J1" s="2"/>
      <c r="K1" s="1"/>
      <c r="L1" s="3"/>
      <c r="M1" s="3"/>
      <c r="N1" s="3"/>
      <c r="O1" s="3"/>
    </row>
    <row r="2" ht="21.75" customHeight="1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6"/>
      <c r="I2" s="7" t="s">
        <v>6</v>
      </c>
      <c r="J2" s="8" t="s">
        <v>7</v>
      </c>
      <c r="K2" s="9"/>
      <c r="L2" s="10"/>
      <c r="M2" s="3"/>
      <c r="N2" s="3"/>
      <c r="O2" s="3"/>
    </row>
    <row r="3">
      <c r="A3" s="4"/>
      <c r="B3" s="11" t="s">
        <v>8</v>
      </c>
      <c r="C3" s="12">
        <f>I3</f>
        <v>100</v>
      </c>
      <c r="D3" s="13">
        <f>I3</f>
        <v>100</v>
      </c>
      <c r="E3" s="12">
        <v>125.0</v>
      </c>
      <c r="F3" s="12">
        <f t="shared" ref="F3:G3" si="1">E7-E10</f>
        <v>137.5</v>
      </c>
      <c r="G3" s="12">
        <f t="shared" si="1"/>
        <v>156.25</v>
      </c>
      <c r="H3" s="6"/>
      <c r="I3" s="14">
        <v>100.0</v>
      </c>
      <c r="J3" s="15">
        <v>12.0</v>
      </c>
      <c r="K3" s="9"/>
      <c r="L3" s="16"/>
      <c r="M3" s="3"/>
      <c r="N3" s="3"/>
      <c r="O3" s="3"/>
    </row>
    <row r="4">
      <c r="A4" s="4"/>
      <c r="B4" s="11" t="s">
        <v>9</v>
      </c>
      <c r="C4" s="17">
        <f t="shared" ref="C4:G4" si="2">$I$6</f>
        <v>0.04</v>
      </c>
      <c r="D4" s="17">
        <f t="shared" si="2"/>
        <v>0.04</v>
      </c>
      <c r="E4" s="17">
        <f t="shared" si="2"/>
        <v>0.04</v>
      </c>
      <c r="F4" s="17">
        <f t="shared" si="2"/>
        <v>0.04</v>
      </c>
      <c r="G4" s="17">
        <f t="shared" si="2"/>
        <v>0.04</v>
      </c>
      <c r="H4" s="18"/>
      <c r="I4" s="19"/>
      <c r="J4" s="20"/>
      <c r="K4" s="1"/>
      <c r="L4" s="3"/>
      <c r="M4" s="3"/>
      <c r="N4" s="3"/>
      <c r="O4" s="3"/>
    </row>
    <row r="5">
      <c r="A5" s="4"/>
      <c r="B5" s="21" t="s">
        <v>10</v>
      </c>
      <c r="C5" s="22">
        <f>J6</f>
        <v>0</v>
      </c>
      <c r="D5" s="22">
        <f>J6</f>
        <v>0</v>
      </c>
      <c r="E5" s="22">
        <f>J6</f>
        <v>0</v>
      </c>
      <c r="F5" s="22">
        <f>J6</f>
        <v>0</v>
      </c>
      <c r="G5" s="22">
        <f>J6</f>
        <v>0</v>
      </c>
      <c r="H5" s="6"/>
      <c r="I5" s="23" t="s">
        <v>11</v>
      </c>
      <c r="J5" s="24" t="s">
        <v>12</v>
      </c>
      <c r="K5" s="9"/>
      <c r="L5" s="3"/>
      <c r="M5" s="3"/>
      <c r="N5" s="3"/>
      <c r="O5" s="3"/>
    </row>
    <row r="6">
      <c r="A6" s="4"/>
      <c r="B6" s="21" t="s">
        <v>13</v>
      </c>
      <c r="C6" s="25">
        <v>0.5</v>
      </c>
      <c r="D6" s="25">
        <v>0.5</v>
      </c>
      <c r="E6" s="25">
        <v>0.5</v>
      </c>
      <c r="F6" s="25">
        <v>0.5</v>
      </c>
      <c r="G6" s="25">
        <v>0.5</v>
      </c>
      <c r="H6" s="6"/>
      <c r="I6" s="26">
        <v>0.04</v>
      </c>
      <c r="J6" s="27">
        <v>0.0</v>
      </c>
      <c r="K6" s="9"/>
      <c r="L6" s="3"/>
      <c r="M6" s="3"/>
      <c r="N6" s="3"/>
      <c r="O6" s="3"/>
    </row>
    <row r="7">
      <c r="A7" s="4"/>
      <c r="B7" s="11" t="s">
        <v>14</v>
      </c>
      <c r="C7" s="13">
        <f t="shared" ref="C7:G7" si="3">C3*(1+C6)</f>
        <v>150</v>
      </c>
      <c r="D7" s="13">
        <f t="shared" si="3"/>
        <v>150</v>
      </c>
      <c r="E7" s="13">
        <f t="shared" si="3"/>
        <v>187.5</v>
      </c>
      <c r="F7" s="13">
        <f t="shared" si="3"/>
        <v>206.25</v>
      </c>
      <c r="G7" s="13">
        <f t="shared" si="3"/>
        <v>234.375</v>
      </c>
      <c r="H7" s="18"/>
      <c r="I7" s="20"/>
      <c r="J7" s="28"/>
      <c r="K7" s="1"/>
      <c r="L7" s="3"/>
      <c r="M7" s="3"/>
      <c r="N7" s="3"/>
      <c r="O7" s="3"/>
    </row>
    <row r="8">
      <c r="A8" s="4"/>
      <c r="B8" s="11" t="s">
        <v>15</v>
      </c>
      <c r="C8" s="29">
        <f>if('Ciclo 1'!G3="",0,'Ciclo 1'!Q6)</f>
        <v>0</v>
      </c>
      <c r="D8" s="29">
        <f>if('Ciclo 2'!G3="",0,'Ciclo 1'!Q6)</f>
        <v>0</v>
      </c>
      <c r="E8" s="29">
        <f>if('Ciclo 3'!G3="",0,'Ciclo 1'!Q6)</f>
        <v>0</v>
      </c>
      <c r="F8" s="29">
        <f>if('Ciclo 4'!G3="",0,'Ciclo 1'!Q6)</f>
        <v>0</v>
      </c>
      <c r="G8" s="29">
        <f>if('Ciclo 5'!G3="",0,'Ciclo 1'!Q6)</f>
        <v>0</v>
      </c>
      <c r="H8" s="6"/>
      <c r="I8" s="7" t="s">
        <v>16</v>
      </c>
      <c r="J8" s="30" t="s">
        <v>17</v>
      </c>
      <c r="K8" s="9"/>
      <c r="L8" s="3"/>
      <c r="M8" s="3"/>
      <c r="N8" s="3"/>
      <c r="O8" s="3"/>
    </row>
    <row r="9">
      <c r="A9" s="4"/>
      <c r="B9" s="11" t="s">
        <v>18</v>
      </c>
      <c r="C9" s="13">
        <f>'Ciclo 1'!Q7</f>
        <v>0</v>
      </c>
      <c r="D9" s="13">
        <f>'Ciclo 2'!Q7</f>
        <v>0</v>
      </c>
      <c r="E9" s="13">
        <f>'Ciclo 3'!Q7</f>
        <v>0</v>
      </c>
      <c r="F9" s="31">
        <f>'Ciclo 4'!Q7</f>
        <v>0</v>
      </c>
      <c r="G9" s="31">
        <f>'Ciclo 5'!Q7</f>
        <v>0</v>
      </c>
      <c r="H9" s="6"/>
      <c r="I9" s="32">
        <f>SUM(C10:G10)</f>
        <v>409.375</v>
      </c>
      <c r="J9" s="33">
        <f>I9/I3</f>
        <v>4.09375</v>
      </c>
      <c r="K9" s="9"/>
      <c r="L9" s="3"/>
      <c r="M9" s="3"/>
      <c r="N9" s="3"/>
      <c r="O9" s="3"/>
    </row>
    <row r="10">
      <c r="A10" s="4"/>
      <c r="B10" s="11" t="s">
        <v>19</v>
      </c>
      <c r="C10" s="29">
        <f>C7-D3</f>
        <v>50</v>
      </c>
      <c r="D10" s="34">
        <v>25.0</v>
      </c>
      <c r="E10" s="34">
        <v>50.0</v>
      </c>
      <c r="F10" s="34">
        <v>50.0</v>
      </c>
      <c r="G10" s="29">
        <f>G7</f>
        <v>234.375</v>
      </c>
      <c r="H10" s="18"/>
      <c r="I10" s="28"/>
      <c r="J10" s="35"/>
      <c r="K10" s="1"/>
      <c r="L10" s="3"/>
      <c r="M10" s="3"/>
      <c r="N10" s="3"/>
      <c r="O10" s="3"/>
    </row>
    <row r="11">
      <c r="A11" s="4"/>
      <c r="B11" s="11" t="s">
        <v>20</v>
      </c>
      <c r="C11" s="36"/>
      <c r="D11" s="36"/>
      <c r="E11" s="36"/>
      <c r="F11" s="37"/>
      <c r="G11" s="36"/>
      <c r="H11" s="6"/>
      <c r="I11" s="23" t="s">
        <v>21</v>
      </c>
      <c r="J11" s="24" t="s">
        <v>22</v>
      </c>
      <c r="K11" s="9"/>
      <c r="L11" s="3"/>
      <c r="M11" s="3"/>
      <c r="N11" s="3"/>
      <c r="O11" s="3"/>
    </row>
    <row r="12">
      <c r="A12" s="3"/>
      <c r="B12" s="38"/>
      <c r="C12" s="38"/>
      <c r="D12" s="38"/>
      <c r="E12" s="38"/>
      <c r="F12" s="39"/>
      <c r="G12" s="39"/>
      <c r="H12" s="38"/>
      <c r="I12" s="32">
        <f>SUM(C9:G9)</f>
        <v>0</v>
      </c>
      <c r="J12" s="33">
        <f>I12/I3</f>
        <v>0</v>
      </c>
      <c r="K12" s="3"/>
      <c r="L12" s="3"/>
      <c r="M12" s="3"/>
      <c r="N12" s="3"/>
      <c r="O12" s="3"/>
    </row>
    <row r="13" ht="13.5" customHeight="1">
      <c r="A13" s="3"/>
      <c r="B13" s="40" t="s">
        <v>23</v>
      </c>
      <c r="G13" s="41"/>
      <c r="H13" s="3"/>
      <c r="K13" s="3"/>
      <c r="L13" s="3"/>
      <c r="M13" s="3"/>
      <c r="N13" s="3"/>
      <c r="O13" s="3"/>
    </row>
    <row r="14" ht="14.25" customHeight="1">
      <c r="A14" s="3"/>
      <c r="G14" s="41"/>
      <c r="H14" s="42"/>
      <c r="I14" s="42"/>
      <c r="J14" s="43"/>
      <c r="K14" s="3"/>
      <c r="L14" s="3"/>
      <c r="M14" s="3"/>
      <c r="N14" s="3"/>
      <c r="O14" s="3"/>
    </row>
    <row r="15" ht="13.5" customHeight="1">
      <c r="A15" s="3"/>
      <c r="B15" s="3"/>
      <c r="E15" s="3"/>
      <c r="F15" s="3"/>
      <c r="G15" s="3"/>
      <c r="H15" s="3"/>
      <c r="I15" s="42"/>
      <c r="J15" s="43"/>
      <c r="K15" s="44"/>
      <c r="L15" s="3"/>
      <c r="M15" s="3"/>
      <c r="N15" s="3"/>
      <c r="O15" s="3"/>
    </row>
    <row r="16" ht="15.0" customHeight="1">
      <c r="A16" s="3"/>
      <c r="B16" s="45" t="s">
        <v>24</v>
      </c>
      <c r="C16" s="46" t="s">
        <v>25</v>
      </c>
      <c r="D16" s="46" t="s">
        <v>26</v>
      </c>
      <c r="E16" s="46" t="s">
        <v>27</v>
      </c>
      <c r="F16" s="47" t="s">
        <v>28</v>
      </c>
      <c r="G16" s="48"/>
      <c r="H16" s="3"/>
      <c r="I16" s="43"/>
      <c r="K16" s="49"/>
      <c r="L16" s="3"/>
      <c r="M16" s="3"/>
      <c r="N16" s="3"/>
      <c r="O16" s="3"/>
    </row>
    <row r="17" ht="13.5" customHeight="1">
      <c r="A17" s="3"/>
      <c r="B17" s="50"/>
      <c r="C17" s="51">
        <f>countif('Ciclo 1'!M:M,$B17)+countif('Ciclo 2'!M:M,$B17)+countif('Ciclo 3'!M:M,$B17)+countif('Ciclo 4'!M:M,$B17)+countif('Ciclo 5'!M:M,$B17)</f>
        <v>0</v>
      </c>
      <c r="D17" s="52">
        <f>sumif('Ciclo 1'!$M:$M,$B17,'Ciclo 1'!G:G)+sumif('Ciclo 2'!$M:$M,$B17,'Ciclo 2'!G:G)+sumif('Ciclo 3'!$M:$M,$B17,'Ciclo 3'!G:G)+sumif('Ciclo 4'!$M:$M,$B17,'Ciclo 4'!G:G)+sumif('Ciclo 5'!$M:$M,$B17,'Ciclo 5'!G:G)</f>
        <v>0</v>
      </c>
      <c r="E17" s="53" t="str">
        <f>iferror((sumif('Ciclo 1'!M:M,#REF!,'Ciclo 1'!H:H)+sumif('Ciclo 2'!M:M,#REF!,'Ciclo 2'!H:H)+sumif('Ciclo 3'!M:M,#REF!,'Ciclo 3'!H:H)+sumif('Ciclo 4'!M:M,#REF!,'Ciclo 4'!H:H)+sumif('Ciclo 5'!M:M,#REF!,'Ciclo 5'!H:H))/C17,"")</f>
        <v/>
      </c>
      <c r="F17" s="54" t="str">
        <f t="shared" ref="F17:F33" si="4">IFERROR(D17/$D$35,"")</f>
        <v/>
      </c>
      <c r="G17" s="48"/>
      <c r="H17" s="55" t="s">
        <v>29</v>
      </c>
      <c r="K17" s="3"/>
      <c r="L17" s="3"/>
      <c r="M17" s="3"/>
      <c r="N17" s="3"/>
      <c r="O17" s="3"/>
    </row>
    <row r="18" ht="13.5" customHeight="1">
      <c r="A18" s="3"/>
      <c r="B18" s="50"/>
      <c r="C18" s="51">
        <f>countif('Ciclo 1'!M:M,$B18)+countif('Ciclo 2'!M:M,$B18)+countif('Ciclo 3'!M:M,$B18)+countif('Ciclo 4'!M:M,$B18)+countif('Ciclo 5'!M:M,$B18)</f>
        <v>0</v>
      </c>
      <c r="D18" s="52">
        <f>sumif('Ciclo 1'!$M:$M,$B18,'Ciclo 1'!G:G)+sumif('Ciclo 2'!$M:$M,$B18,'Ciclo 2'!G:G)+sumif('Ciclo 3'!$M:$M,$B18,'Ciclo 3'!G:G)+sumif('Ciclo 4'!$M:$M,$B18,'Ciclo 4'!G:G)+sumif('Ciclo 5'!$M:$M,$B18,'Ciclo 5'!G:G)</f>
        <v>0</v>
      </c>
      <c r="E18" s="53" t="str">
        <f>iferror((sumif('Ciclo 1'!M:M,#REF!,'Ciclo 1'!H:H)+sumif('Ciclo 2'!M:M,#REF!,'Ciclo 2'!H:H)+sumif('Ciclo 3'!M:M,#REF!,'Ciclo 3'!H:H)+sumif('Ciclo 4'!M:M,#REF!,'Ciclo 4'!H:H)+sumif('Ciclo 5'!M:M,#REF!,'Ciclo 5'!H:H))/C18,"")</f>
        <v/>
      </c>
      <c r="F18" s="54" t="str">
        <f t="shared" si="4"/>
        <v/>
      </c>
      <c r="G18" s="48"/>
      <c r="K18" s="3"/>
      <c r="L18" s="3"/>
      <c r="M18" s="3"/>
      <c r="N18" s="3"/>
      <c r="O18" s="3"/>
    </row>
    <row r="19" ht="13.5" customHeight="1">
      <c r="A19" s="3"/>
      <c r="B19" s="50"/>
      <c r="C19" s="51">
        <f>countif('Ciclo 1'!M:M,$B19)+countif('Ciclo 2'!M:M,$B19)+countif('Ciclo 3'!M:M,$B19)+countif('Ciclo 4'!M:M,$B19)+countif('Ciclo 5'!M:M,$B19)</f>
        <v>0</v>
      </c>
      <c r="D19" s="52">
        <f>sumif('Ciclo 1'!$M:$M,$B19,'Ciclo 1'!G:G)+sumif('Ciclo 2'!$M:$M,$B19,'Ciclo 2'!G:G)+sumif('Ciclo 3'!$M:$M,$B19,'Ciclo 3'!G:G)+sumif('Ciclo 4'!$M:$M,$B19,'Ciclo 4'!G:G)+sumif('Ciclo 5'!$M:$M,$B19,'Ciclo 5'!G:G)</f>
        <v>0</v>
      </c>
      <c r="E19" s="53" t="str">
        <f>iferror((sumif('Ciclo 1'!M:M,#REF!,'Ciclo 1'!H:H)+sumif('Ciclo 2'!M:M,#REF!,'Ciclo 2'!H:H)+sumif('Ciclo 3'!M:M,#REF!,'Ciclo 3'!H:H)+sumif('Ciclo 4'!M:M,#REF!,'Ciclo 4'!H:H)+sumif('Ciclo 5'!M:M,#REF!,'Ciclo 5'!H:H))/C19,"")</f>
        <v/>
      </c>
      <c r="F19" s="54" t="str">
        <f t="shared" si="4"/>
        <v/>
      </c>
      <c r="G19" s="48"/>
      <c r="K19" s="3"/>
      <c r="L19" s="3"/>
      <c r="M19" s="3"/>
      <c r="N19" s="3"/>
      <c r="O19" s="3"/>
    </row>
    <row r="20" ht="13.5" customHeight="1">
      <c r="A20" s="3"/>
      <c r="B20" s="50"/>
      <c r="C20" s="51">
        <f>countif('Ciclo 1'!M:M,$B20)+countif('Ciclo 2'!M:M,$B20)+countif('Ciclo 3'!M:M,$B20)+countif('Ciclo 4'!M:M,$B20)+countif('Ciclo 5'!M:M,$B20)</f>
        <v>0</v>
      </c>
      <c r="D20" s="52">
        <f>sumif('Ciclo 1'!$M:$M,$B20,'Ciclo 1'!G:G)+sumif('Ciclo 2'!$M:$M,$B20,'Ciclo 2'!G:G)+sumif('Ciclo 3'!$M:$M,$B20,'Ciclo 3'!G:G)+sumif('Ciclo 4'!$M:$M,$B20,'Ciclo 4'!G:G)+sumif('Ciclo 5'!$M:$M,$B20,'Ciclo 5'!G:G)</f>
        <v>0</v>
      </c>
      <c r="E20" s="53" t="str">
        <f>iferror((sumif('Ciclo 1'!M:M,#REF!,'Ciclo 1'!H:H)+sumif('Ciclo 2'!M:M,#REF!,'Ciclo 2'!H:H)+sumif('Ciclo 3'!M:M,#REF!,'Ciclo 3'!H:H)+sumif('Ciclo 4'!M:M,#REF!,'Ciclo 4'!H:H)+sumif('Ciclo 5'!M:M,#REF!,'Ciclo 5'!H:H))/C20,"")</f>
        <v/>
      </c>
      <c r="F20" s="54" t="str">
        <f t="shared" si="4"/>
        <v/>
      </c>
      <c r="G20" s="48"/>
      <c r="K20" s="3"/>
      <c r="L20" s="3"/>
      <c r="M20" s="3"/>
      <c r="N20" s="3"/>
      <c r="O20" s="3"/>
    </row>
    <row r="21" ht="13.5" customHeight="1">
      <c r="A21" s="3"/>
      <c r="B21" s="50"/>
      <c r="C21" s="51">
        <f>countif('Ciclo 1'!M:M,$B21)+countif('Ciclo 2'!M:M,$B21)+countif('Ciclo 3'!M:M,$B21)+countif('Ciclo 4'!M:M,$B21)+countif('Ciclo 5'!M:M,$B21)</f>
        <v>0</v>
      </c>
      <c r="D21" s="52">
        <f>sumif('Ciclo 1'!$M:$M,$B21,'Ciclo 1'!G:G)+sumif('Ciclo 2'!$M:$M,$B21,'Ciclo 2'!G:G)+sumif('Ciclo 3'!$M:$M,$B21,'Ciclo 3'!G:G)+sumif('Ciclo 4'!$M:$M,$B21,'Ciclo 4'!G:G)+sumif('Ciclo 5'!$M:$M,$B21,'Ciclo 5'!G:G)</f>
        <v>0</v>
      </c>
      <c r="E21" s="53" t="str">
        <f>iferror((sumif('Ciclo 1'!M:M,#REF!,'Ciclo 1'!H:H)+sumif('Ciclo 2'!M:M,#REF!,'Ciclo 2'!H:H)+sumif('Ciclo 3'!M:M,#REF!,'Ciclo 3'!H:H)+sumif('Ciclo 4'!M:M,#REF!,'Ciclo 4'!H:H)+sumif('Ciclo 5'!M:M,#REF!,'Ciclo 5'!H:H))/C21,"")</f>
        <v/>
      </c>
      <c r="F21" s="54" t="str">
        <f t="shared" si="4"/>
        <v/>
      </c>
      <c r="G21" s="48"/>
      <c r="K21" s="3"/>
      <c r="L21" s="3"/>
      <c r="M21" s="3"/>
      <c r="N21" s="3"/>
      <c r="O21" s="3"/>
    </row>
    <row r="22" ht="13.5" customHeight="1">
      <c r="A22" s="3"/>
      <c r="B22" s="50"/>
      <c r="C22" s="51">
        <f>countif('Ciclo 1'!M:M,$B22)+countif('Ciclo 2'!M:M,$B22)+countif('Ciclo 3'!M:M,$B22)+countif('Ciclo 4'!M:M,$B22)+countif('Ciclo 5'!M:M,$B22)</f>
        <v>0</v>
      </c>
      <c r="D22" s="52">
        <f>sumif('Ciclo 1'!$M:$M,$B22,'Ciclo 1'!G:G)+sumif('Ciclo 2'!$M:$M,$B22,'Ciclo 2'!G:G)+sumif('Ciclo 3'!$M:$M,$B22,'Ciclo 3'!G:G)+sumif('Ciclo 4'!$M:$M,$B22,'Ciclo 4'!G:G)+sumif('Ciclo 5'!$M:$M,$B22,'Ciclo 5'!G:G)</f>
        <v>0</v>
      </c>
      <c r="E22" s="53" t="str">
        <f>iferror((sumif('Ciclo 1'!M:M,#REF!,'Ciclo 1'!H:H)+sumif('Ciclo 2'!M:M,#REF!,'Ciclo 2'!H:H)+sumif('Ciclo 3'!M:M,#REF!,'Ciclo 3'!H:H)+sumif('Ciclo 4'!M:M,#REF!,'Ciclo 4'!H:H)+sumif('Ciclo 5'!M:M,#REF!,'Ciclo 5'!H:H))/C22,"")</f>
        <v/>
      </c>
      <c r="F22" s="54" t="str">
        <f t="shared" si="4"/>
        <v/>
      </c>
      <c r="G22" s="48"/>
      <c r="K22" s="3"/>
      <c r="L22" s="3"/>
      <c r="M22" s="3"/>
      <c r="N22" s="3"/>
      <c r="O22" s="3"/>
    </row>
    <row r="23" ht="13.5" customHeight="1">
      <c r="A23" s="3"/>
      <c r="B23" s="50"/>
      <c r="C23" s="51">
        <f>countif('Ciclo 1'!M:M,$B23)+countif('Ciclo 2'!M:M,$B23)+countif('Ciclo 3'!M:M,$B23)+countif('Ciclo 4'!M:M,$B23)+countif('Ciclo 5'!M:M,$B23)</f>
        <v>0</v>
      </c>
      <c r="D23" s="52">
        <f>sumif('Ciclo 1'!$M:$M,$B23,'Ciclo 1'!G:G)+sumif('Ciclo 2'!$M:$M,$B23,'Ciclo 2'!G:G)+sumif('Ciclo 3'!$M:$M,$B23,'Ciclo 3'!G:G)+sumif('Ciclo 4'!$M:$M,$B23,'Ciclo 4'!G:G)+sumif('Ciclo 5'!$M:$M,$B23,'Ciclo 5'!G:G)</f>
        <v>0</v>
      </c>
      <c r="E23" s="53" t="str">
        <f>iferror((sumif('Ciclo 1'!M:M,#REF!,'Ciclo 1'!H:H)+sumif('Ciclo 2'!M:M,#REF!,'Ciclo 2'!H:H)+sumif('Ciclo 3'!M:M,#REF!,'Ciclo 3'!H:H)+sumif('Ciclo 4'!M:M,#REF!,'Ciclo 4'!H:H)+sumif('Ciclo 5'!M:M,#REF!,'Ciclo 5'!H:H))/C23,"")</f>
        <v/>
      </c>
      <c r="F23" s="54" t="str">
        <f t="shared" si="4"/>
        <v/>
      </c>
      <c r="G23" s="48"/>
      <c r="H23" s="56"/>
      <c r="I23" s="57"/>
      <c r="J23" s="57"/>
      <c r="K23" s="3"/>
      <c r="L23" s="3"/>
      <c r="M23" s="3"/>
      <c r="N23" s="3"/>
      <c r="O23" s="3"/>
    </row>
    <row r="24" ht="13.5" customHeight="1">
      <c r="A24" s="3"/>
      <c r="B24" s="50"/>
      <c r="C24" s="51">
        <f>countif('Ciclo 1'!M:M,$B24)+countif('Ciclo 2'!M:M,$B24)+countif('Ciclo 3'!M:M,$B24)+countif('Ciclo 4'!M:M,$B24)+countif('Ciclo 5'!M:M,$B24)</f>
        <v>0</v>
      </c>
      <c r="D24" s="52">
        <f>sumif('Ciclo 1'!$M:$M,$B24,'Ciclo 1'!G:G)+sumif('Ciclo 2'!$M:$M,$B24,'Ciclo 2'!G:G)+sumif('Ciclo 3'!$M:$M,$B24,'Ciclo 3'!G:G)+sumif('Ciclo 4'!$M:$M,$B24,'Ciclo 4'!G:G)+sumif('Ciclo 5'!$M:$M,$B24,'Ciclo 5'!G:G)</f>
        <v>0</v>
      </c>
      <c r="E24" s="53" t="str">
        <f>iferror((sumif('Ciclo 1'!M:M,#REF!,'Ciclo 1'!H:H)+sumif('Ciclo 2'!M:M,#REF!,'Ciclo 2'!H:H)+sumif('Ciclo 3'!M:M,#REF!,'Ciclo 3'!H:H)+sumif('Ciclo 4'!M:M,#REF!,'Ciclo 4'!H:H)+sumif('Ciclo 5'!M:M,#REF!,'Ciclo 5'!H:H))/C24,"")</f>
        <v/>
      </c>
      <c r="F24" s="54" t="str">
        <f t="shared" si="4"/>
        <v/>
      </c>
      <c r="G24" s="48"/>
      <c r="H24" s="58" t="s">
        <v>30</v>
      </c>
      <c r="K24" s="3"/>
      <c r="L24" s="3"/>
      <c r="M24" s="3"/>
      <c r="N24" s="3"/>
      <c r="O24" s="3"/>
    </row>
    <row r="25" ht="13.5" customHeight="1">
      <c r="A25" s="3"/>
      <c r="B25" s="59"/>
      <c r="C25" s="51">
        <f>countif('Ciclo 1'!M:M,$B25)+countif('Ciclo 2'!M:M,$B25)+countif('Ciclo 3'!M:M,$B25)+countif('Ciclo 4'!M:M,$B25)+countif('Ciclo 5'!M:M,$B25)</f>
        <v>0</v>
      </c>
      <c r="D25" s="52">
        <f>sumif('Ciclo 1'!$M:$M,$B25,'Ciclo 1'!G:G)+sumif('Ciclo 2'!$M:$M,$B25,'Ciclo 2'!G:G)+sumif('Ciclo 3'!$M:$M,$B25,'Ciclo 3'!G:G)+sumif('Ciclo 4'!$M:$M,$B25,'Ciclo 4'!G:G)+sumif('Ciclo 5'!$M:$M,$B25,'Ciclo 5'!G:G)</f>
        <v>0</v>
      </c>
      <c r="E25" s="53" t="str">
        <f>iferror((sumif('Ciclo 1'!M:M,#REF!,'Ciclo 1'!H:H)+sumif('Ciclo 2'!M:M,#REF!,'Ciclo 2'!H:H)+sumif('Ciclo 3'!M:M,#REF!,'Ciclo 3'!H:H)+sumif('Ciclo 4'!M:M,#REF!,'Ciclo 4'!H:H)+sumif('Ciclo 5'!M:M,#REF!,'Ciclo 5'!H:H))/C25,"")</f>
        <v/>
      </c>
      <c r="F25" s="54" t="str">
        <f t="shared" si="4"/>
        <v/>
      </c>
      <c r="G25" s="48"/>
      <c r="K25" s="3"/>
      <c r="L25" s="3"/>
      <c r="M25" s="3"/>
      <c r="N25" s="3"/>
      <c r="O25" s="3"/>
    </row>
    <row r="26" ht="13.5" customHeight="1">
      <c r="A26" s="3"/>
      <c r="B26" s="50"/>
      <c r="C26" s="51">
        <f>countif('Ciclo 1'!M:M,$B26)+countif('Ciclo 2'!M:M,$B26)+countif('Ciclo 3'!M:M,$B26)+countif('Ciclo 4'!M:M,$B26)+countif('Ciclo 5'!M:M,$B26)</f>
        <v>0</v>
      </c>
      <c r="D26" s="52">
        <f>sumif('Ciclo 1'!$M:$M,$B26,'Ciclo 1'!G:G)+sumif('Ciclo 2'!$M:$M,$B26,'Ciclo 2'!G:G)+sumif('Ciclo 3'!$M:$M,$B26,'Ciclo 3'!G:G)+sumif('Ciclo 4'!$M:$M,$B26,'Ciclo 4'!G:G)+sumif('Ciclo 5'!$M:$M,$B26,'Ciclo 5'!G:G)</f>
        <v>0</v>
      </c>
      <c r="E26" s="53" t="str">
        <f>iferror((sumif('Ciclo 1'!M:M,#REF!,'Ciclo 1'!H:H)+sumif('Ciclo 2'!M:M,#REF!,'Ciclo 2'!H:H)+sumif('Ciclo 3'!M:M,#REF!,'Ciclo 3'!H:H)+sumif('Ciclo 4'!M:M,#REF!,'Ciclo 4'!H:H)+sumif('Ciclo 5'!M:M,#REF!,'Ciclo 5'!H:H))/C26,"")</f>
        <v/>
      </c>
      <c r="F26" s="54" t="str">
        <f t="shared" si="4"/>
        <v/>
      </c>
      <c r="G26" s="48"/>
      <c r="K26" s="3"/>
      <c r="L26" s="3"/>
      <c r="M26" s="3"/>
      <c r="N26" s="3"/>
      <c r="O26" s="3"/>
    </row>
    <row r="27" ht="13.5" customHeight="1">
      <c r="A27" s="3"/>
      <c r="C27" s="51">
        <f>countif('Ciclo 1'!M:M,$B27)+countif('Ciclo 2'!M:M,$B27)+countif('Ciclo 3'!M:M,$B27)+countif('Ciclo 4'!M:M,$B27)+countif('Ciclo 5'!M:M,$B27)</f>
        <v>0</v>
      </c>
      <c r="D27" s="52">
        <f>sumif('Ciclo 1'!$M:$M,$B27,'Ciclo 1'!G:G)+sumif('Ciclo 2'!$M:$M,$B27,'Ciclo 2'!G:G)+sumif('Ciclo 3'!$M:$M,$B27,'Ciclo 3'!G:G)+sumif('Ciclo 4'!$M:$M,$B27,'Ciclo 4'!G:G)+sumif('Ciclo 5'!$M:$M,$B27,'Ciclo 5'!G:G)</f>
        <v>0</v>
      </c>
      <c r="E27" s="53" t="str">
        <f>iferror((sumif('Ciclo 1'!M:M,#REF!,'Ciclo 1'!H:H)+sumif('Ciclo 2'!M:M,#REF!,'Ciclo 2'!H:H)+sumif('Ciclo 3'!M:M,#REF!,'Ciclo 3'!H:H)+sumif('Ciclo 4'!M:M,#REF!,'Ciclo 4'!H:H)+sumif('Ciclo 5'!M:M,#REF!,'Ciclo 5'!H:H))/C27,"")</f>
        <v/>
      </c>
      <c r="F27" s="54" t="str">
        <f t="shared" si="4"/>
        <v/>
      </c>
      <c r="G27" s="48"/>
      <c r="K27" s="3"/>
      <c r="L27" s="3"/>
      <c r="M27" s="3"/>
      <c r="N27" s="3"/>
      <c r="O27" s="3"/>
    </row>
    <row r="28" ht="13.5" customHeight="1">
      <c r="A28" s="3"/>
      <c r="C28" s="51">
        <f>countif('Ciclo 1'!M:M,$B28)+countif('Ciclo 2'!M:M,$B28)+countif('Ciclo 3'!M:M,$B28)+countif('Ciclo 4'!M:M,$B28)+countif('Ciclo 5'!M:M,$B28)</f>
        <v>0</v>
      </c>
      <c r="D28" s="52">
        <f>sumif('Ciclo 1'!$M:$M,$B28,'Ciclo 1'!G:G)+sumif('Ciclo 2'!$M:$M,$B28,'Ciclo 2'!G:G)+sumif('Ciclo 3'!$M:$M,$B28,'Ciclo 3'!G:G)+sumif('Ciclo 4'!$M:$M,$B28,'Ciclo 4'!G:G)+sumif('Ciclo 5'!$M:$M,$B28,'Ciclo 5'!G:G)</f>
        <v>0</v>
      </c>
      <c r="E28" s="53" t="str">
        <f>iferror((sumif('Ciclo 1'!M:M,#REF!,'Ciclo 1'!H:H)+sumif('Ciclo 2'!M:M,#REF!,'Ciclo 2'!H:H)+sumif('Ciclo 3'!M:M,#REF!,'Ciclo 3'!H:H)+sumif('Ciclo 4'!M:M,#REF!,'Ciclo 4'!H:H)+sumif('Ciclo 5'!M:M,#REF!,'Ciclo 5'!H:H))/C28,"")</f>
        <v/>
      </c>
      <c r="F28" s="54" t="str">
        <f t="shared" si="4"/>
        <v/>
      </c>
      <c r="G28" s="48"/>
      <c r="K28" s="3"/>
      <c r="L28" s="3"/>
      <c r="M28" s="3"/>
      <c r="N28" s="3"/>
      <c r="O28" s="3"/>
    </row>
    <row r="29" ht="13.5" customHeight="1">
      <c r="A29" s="3"/>
      <c r="C29" s="51">
        <f>countif('Ciclo 1'!M:M,$B29)+countif('Ciclo 2'!M:M,$B29)+countif('Ciclo 3'!M:M,$B29)+countif('Ciclo 4'!M:M,$B29)+countif('Ciclo 5'!M:M,$B29)</f>
        <v>0</v>
      </c>
      <c r="D29" s="52">
        <f>sumif('Ciclo 1'!$M:$M,$B29,'Ciclo 1'!G:G)+sumif('Ciclo 2'!$M:$M,$B29,'Ciclo 2'!G:G)+sumif('Ciclo 3'!$M:$M,$B29,'Ciclo 3'!G:G)+sumif('Ciclo 4'!$M:$M,$B29,'Ciclo 4'!G:G)+sumif('Ciclo 5'!$M:$M,$B29,'Ciclo 5'!G:G)</f>
        <v>0</v>
      </c>
      <c r="E29" s="53" t="str">
        <f>iferror((sumif('Ciclo 1'!M:M,#REF!,'Ciclo 1'!H:H)+sumif('Ciclo 2'!M:M,#REF!,'Ciclo 2'!H:H)+sumif('Ciclo 3'!M:M,#REF!,'Ciclo 3'!H:H)+sumif('Ciclo 4'!M:M,#REF!,'Ciclo 4'!H:H)+sumif('Ciclo 5'!M:M,#REF!,'Ciclo 5'!H:H))/C29,"")</f>
        <v/>
      </c>
      <c r="F29" s="54" t="str">
        <f t="shared" si="4"/>
        <v/>
      </c>
      <c r="G29" s="48"/>
      <c r="H29" s="60"/>
      <c r="I29" s="60"/>
      <c r="J29" s="60"/>
      <c r="K29" s="3"/>
      <c r="L29" s="3"/>
      <c r="M29" s="3"/>
      <c r="N29" s="3"/>
      <c r="O29" s="3"/>
    </row>
    <row r="30" ht="13.5" customHeight="1">
      <c r="A30" s="3"/>
      <c r="B30" s="59"/>
      <c r="C30" s="51">
        <f>countif('Ciclo 1'!M:M,$B30)+countif('Ciclo 2'!M:M,$B30)+countif('Ciclo 3'!M:M,$B30)+countif('Ciclo 4'!M:M,$B30)+countif('Ciclo 5'!M:M,$B30)</f>
        <v>0</v>
      </c>
      <c r="D30" s="52">
        <f>sumif('Ciclo 1'!$M:$M,$B30,'Ciclo 1'!G:G)+sumif('Ciclo 2'!$M:$M,$B30,'Ciclo 2'!G:G)+sumif('Ciclo 3'!$M:$M,$B30,'Ciclo 3'!G:G)+sumif('Ciclo 4'!$M:$M,$B30,'Ciclo 4'!G:G)+sumif('Ciclo 5'!$M:$M,$B30,'Ciclo 5'!G:G)</f>
        <v>0</v>
      </c>
      <c r="E30" s="53" t="str">
        <f>iferror((sumif('Ciclo 1'!M:M,#REF!,'Ciclo 1'!H:H)+sumif('Ciclo 2'!M:M,#REF!,'Ciclo 2'!H:H)+sumif('Ciclo 3'!M:M,#REF!,'Ciclo 3'!H:H)+sumif('Ciclo 4'!M:M,#REF!,'Ciclo 4'!H:H)+sumif('Ciclo 5'!M:M,#REF!,'Ciclo 5'!H:H))/C30,"")</f>
        <v/>
      </c>
      <c r="F30" s="54" t="str">
        <f t="shared" si="4"/>
        <v/>
      </c>
      <c r="G30" s="48"/>
      <c r="H30" s="58" t="s">
        <v>31</v>
      </c>
      <c r="K30" s="3"/>
      <c r="L30" s="3"/>
      <c r="M30" s="3"/>
      <c r="N30" s="3"/>
      <c r="O30" s="3"/>
    </row>
    <row r="31" ht="13.5" customHeight="1">
      <c r="A31" s="3"/>
      <c r="B31" s="59"/>
      <c r="C31" s="51">
        <f>countif('Ciclo 1'!M:M,$B31)+countif('Ciclo 2'!M:M,$B31)+countif('Ciclo 3'!M:M,$B31)+countif('Ciclo 4'!M:M,$B31)+countif('Ciclo 5'!M:M,$B31)</f>
        <v>0</v>
      </c>
      <c r="D31" s="52">
        <f>sumif('Ciclo 1'!$M:$M,$B31,'Ciclo 1'!G:G)+sumif('Ciclo 2'!$M:$M,$B31,'Ciclo 2'!G:G)+sumif('Ciclo 3'!$M:$M,$B31,'Ciclo 3'!G:G)+sumif('Ciclo 4'!$M:$M,$B31,'Ciclo 4'!G:G)+sumif('Ciclo 5'!$M:$M,$B31,'Ciclo 5'!G:G)</f>
        <v>0</v>
      </c>
      <c r="E31" s="53" t="str">
        <f>iferror((sumif('Ciclo 1'!M:M,#REF!,'Ciclo 1'!H:H)+sumif('Ciclo 2'!M:M,#REF!,'Ciclo 2'!H:H)+sumif('Ciclo 3'!M:M,#REF!,'Ciclo 3'!H:H)+sumif('Ciclo 4'!M:M,#REF!,'Ciclo 4'!H:H)+sumif('Ciclo 5'!M:M,#REF!,'Ciclo 5'!H:H))/C31,"")</f>
        <v/>
      </c>
      <c r="F31" s="54" t="str">
        <f t="shared" si="4"/>
        <v/>
      </c>
      <c r="G31" s="48"/>
      <c r="K31" s="3"/>
      <c r="L31" s="3"/>
      <c r="M31" s="3"/>
      <c r="N31" s="3"/>
      <c r="O31" s="3"/>
    </row>
    <row r="32" ht="13.5" customHeight="1">
      <c r="A32" s="3"/>
      <c r="B32" s="59"/>
      <c r="C32" s="51">
        <f>countif('Ciclo 1'!M:M,$B32)+countif('Ciclo 2'!M:M,$B32)+countif('Ciclo 3'!M:M,$B32)+countif('Ciclo 4'!M:M,$B32)+countif('Ciclo 5'!M:M,$B32)</f>
        <v>0</v>
      </c>
      <c r="D32" s="52">
        <f>sumif('Ciclo 1'!$M:$M,$B32,'Ciclo 1'!G:G)+sumif('Ciclo 2'!$M:$M,$B32,'Ciclo 2'!G:G)+sumif('Ciclo 3'!$M:$M,$B32,'Ciclo 3'!G:G)+sumif('Ciclo 4'!$M:$M,$B32,'Ciclo 4'!G:G)+sumif('Ciclo 5'!$M:$M,$B32,'Ciclo 5'!G:G)</f>
        <v>0</v>
      </c>
      <c r="E32" s="53" t="str">
        <f>iferror((sumif('Ciclo 1'!M:M,#REF!,'Ciclo 1'!H:H)+sumif('Ciclo 2'!M:M,#REF!,'Ciclo 2'!H:H)+sumif('Ciclo 3'!M:M,#REF!,'Ciclo 3'!H:H)+sumif('Ciclo 4'!M:M,#REF!,'Ciclo 4'!H:H)+sumif('Ciclo 5'!M:M,#REF!,'Ciclo 5'!H:H))/C32,"")</f>
        <v/>
      </c>
      <c r="F32" s="54" t="str">
        <f t="shared" si="4"/>
        <v/>
      </c>
      <c r="G32" s="48"/>
      <c r="K32" s="3"/>
      <c r="L32" s="3"/>
      <c r="M32" s="3"/>
      <c r="N32" s="3"/>
      <c r="O32" s="3"/>
    </row>
    <row r="33" ht="13.5" customHeight="1">
      <c r="A33" s="3"/>
      <c r="B33" s="61"/>
      <c r="C33" s="51">
        <f>countif('Ciclo 1'!M:M,$B33)+countif('Ciclo 2'!M:M,$B33)+countif('Ciclo 3'!M:M,$B33)+countif('Ciclo 4'!M:M,$B33)+countif('Ciclo 5'!M:M,$B33)</f>
        <v>0</v>
      </c>
      <c r="D33" s="52">
        <f>sumif('Ciclo 1'!$M:$M,$B33,'Ciclo 1'!G:G)+sumif('Ciclo 2'!$M:$M,$B33,'Ciclo 2'!G:G)+sumif('Ciclo 3'!$M:$M,$B33,'Ciclo 3'!G:G)+sumif('Ciclo 4'!$M:$M,$B33,'Ciclo 4'!G:G)+sumif('Ciclo 5'!$M:$M,$B33,'Ciclo 5'!G:G)</f>
        <v>0</v>
      </c>
      <c r="E33" s="53" t="str">
        <f>iferror((sumif('Ciclo 1'!M:M,#REF!,'Ciclo 1'!H:H)+sumif('Ciclo 2'!M:M,#REF!,'Ciclo 2'!H:H)+sumif('Ciclo 3'!M:M,#REF!,'Ciclo 3'!H:H)+sumif('Ciclo 4'!M:M,#REF!,'Ciclo 4'!H:H)+sumif('Ciclo 5'!M:M,#REF!,'Ciclo 5'!H:H))/C33,"")</f>
        <v/>
      </c>
      <c r="F33" s="54" t="str">
        <f t="shared" si="4"/>
        <v/>
      </c>
      <c r="G33" s="62"/>
      <c r="K33" s="3"/>
      <c r="L33" s="3"/>
      <c r="M33" s="3"/>
      <c r="N33" s="3"/>
      <c r="O33" s="3"/>
    </row>
    <row r="34" ht="9.0" customHeight="1">
      <c r="A34" s="3"/>
      <c r="B34" s="63"/>
      <c r="C34" s="64"/>
      <c r="D34" s="64"/>
      <c r="E34" s="62"/>
      <c r="F34" s="62"/>
      <c r="G34" s="62"/>
      <c r="K34" s="3"/>
      <c r="L34" s="3"/>
      <c r="M34" s="3"/>
      <c r="N34" s="3"/>
      <c r="O34" s="3"/>
    </row>
    <row r="35" ht="15.0" customHeight="1">
      <c r="A35" s="3"/>
      <c r="B35" s="65" t="s">
        <v>32</v>
      </c>
      <c r="C35" s="66">
        <f t="shared" ref="C35:D35" si="5">sum(C17:C33)</f>
        <v>0</v>
      </c>
      <c r="D35" s="67">
        <f t="shared" si="5"/>
        <v>0</v>
      </c>
      <c r="E35" s="68" t="str">
        <f>IFERROR(average('Ciclo 1'!H3:H81,'Ciclo 2'!H3:H81,'Ciclo 3'!H3:H81,'Ciclo 4'!H3:H81,'Ciclo 5'!H3:H81),"")</f>
        <v/>
      </c>
      <c r="F35" s="69"/>
      <c r="G35" s="62"/>
      <c r="H35" s="56"/>
      <c r="I35" s="56"/>
      <c r="J35" s="56"/>
      <c r="K35" s="3"/>
      <c r="L35" s="3"/>
      <c r="M35" s="3"/>
      <c r="N35" s="3"/>
      <c r="O35" s="3"/>
    </row>
    <row r="36" ht="20.25" customHeight="1">
      <c r="A36" s="3"/>
      <c r="B36" s="42"/>
      <c r="C36" s="42"/>
      <c r="D36" s="3"/>
      <c r="E36" s="62"/>
      <c r="F36" s="62"/>
      <c r="G36" s="62"/>
      <c r="H36" s="70" t="s">
        <v>33</v>
      </c>
      <c r="K36" s="3"/>
      <c r="L36" s="3"/>
      <c r="M36" s="3"/>
      <c r="N36" s="3"/>
      <c r="O36" s="3"/>
    </row>
    <row r="37" ht="15.0" customHeight="1">
      <c r="A37" s="3"/>
      <c r="B37" s="45" t="s">
        <v>34</v>
      </c>
      <c r="C37" s="46" t="s">
        <v>25</v>
      </c>
      <c r="D37" s="46" t="s">
        <v>26</v>
      </c>
      <c r="E37" s="46" t="s">
        <v>27</v>
      </c>
      <c r="F37" s="47" t="s">
        <v>28</v>
      </c>
      <c r="G37" s="48"/>
      <c r="K37" s="49"/>
      <c r="L37" s="3"/>
      <c r="M37" s="3"/>
      <c r="N37" s="3"/>
      <c r="O37" s="3"/>
    </row>
    <row r="38" ht="13.5" customHeight="1">
      <c r="A38" s="3"/>
      <c r="B38" s="59" t="str">
        <f>if(Apoio!V1="",,Apoio!V1)</f>
        <v/>
      </c>
      <c r="C38" s="71" t="str">
        <f>if(Apoio!W1="",,Apoio!W1)</f>
        <v/>
      </c>
      <c r="D38" s="71" t="str">
        <f>if(Apoio!X1="",,Apoio!X1)</f>
        <v/>
      </c>
      <c r="E38" s="71" t="str">
        <f>if(Apoio!Y1="",,Apoio!Y1)</f>
        <v/>
      </c>
      <c r="F38" s="72" t="str">
        <f>if(Apoio!Z1="",,Apoio!Z1)</f>
        <v/>
      </c>
      <c r="G38" s="62"/>
      <c r="K38" s="73"/>
      <c r="L38" s="3"/>
      <c r="M38" s="3"/>
      <c r="N38" s="3"/>
      <c r="O38" s="3"/>
    </row>
    <row r="39" ht="13.5" customHeight="1">
      <c r="A39" s="3"/>
      <c r="B39" s="59" t="str">
        <f>if(Apoio!V2="",,Apoio!V2)</f>
        <v/>
      </c>
      <c r="C39" s="71" t="str">
        <f>if(Apoio!W2="",,Apoio!W2)</f>
        <v/>
      </c>
      <c r="D39" s="71" t="str">
        <f>if(Apoio!X2="",,Apoio!X2)</f>
        <v/>
      </c>
      <c r="E39" s="71" t="str">
        <f>if(Apoio!Y2="",,Apoio!Y2)</f>
        <v/>
      </c>
      <c r="F39" s="72" t="str">
        <f>if(Apoio!Z2="",,Apoio!Z2)</f>
        <v/>
      </c>
      <c r="G39" s="62"/>
      <c r="K39" s="73"/>
      <c r="L39" s="3"/>
      <c r="M39" s="3"/>
      <c r="N39" s="3"/>
      <c r="O39" s="3"/>
    </row>
    <row r="40" ht="13.5" customHeight="1">
      <c r="A40" s="3"/>
      <c r="B40" s="59" t="str">
        <f>if(Apoio!V3="",,Apoio!V3)</f>
        <v/>
      </c>
      <c r="C40" s="71" t="str">
        <f>if(Apoio!W3="",,Apoio!W3)</f>
        <v/>
      </c>
      <c r="D40" s="71" t="str">
        <f>if(Apoio!X3="",,Apoio!X3)</f>
        <v/>
      </c>
      <c r="E40" s="71" t="str">
        <f>if(Apoio!Y3="",,Apoio!Y3)</f>
        <v/>
      </c>
      <c r="F40" s="72" t="str">
        <f>if(Apoio!Z3="",,Apoio!Z3)</f>
        <v/>
      </c>
      <c r="G40" s="62"/>
      <c r="H40" s="3"/>
      <c r="I40" s="3"/>
      <c r="J40" s="3"/>
      <c r="K40" s="73"/>
      <c r="L40" s="3"/>
      <c r="M40" s="3"/>
      <c r="N40" s="3"/>
      <c r="O40" s="3"/>
    </row>
    <row r="41" ht="13.5" customHeight="1">
      <c r="A41" s="3"/>
      <c r="B41" s="59" t="str">
        <f>if(Apoio!V4="",,Apoio!V4)</f>
        <v/>
      </c>
      <c r="C41" s="71" t="str">
        <f>if(Apoio!W4="",,Apoio!W4)</f>
        <v/>
      </c>
      <c r="D41" s="71" t="str">
        <f>if(Apoio!X4="",,Apoio!X4)</f>
        <v/>
      </c>
      <c r="E41" s="74" t="str">
        <f>if(Apoio!Y4="",,Apoio!Y4)</f>
        <v/>
      </c>
      <c r="F41" s="75" t="str">
        <f>if(Apoio!Z4="",,Apoio!Z4)</f>
        <v/>
      </c>
      <c r="G41" s="62"/>
      <c r="H41" s="3"/>
      <c r="I41" s="3"/>
      <c r="J41" s="3"/>
      <c r="K41" s="73"/>
      <c r="L41" s="3"/>
      <c r="M41" s="3"/>
      <c r="N41" s="3"/>
      <c r="O41" s="3"/>
    </row>
    <row r="42" ht="13.5" customHeight="1">
      <c r="A42" s="3"/>
      <c r="B42" s="59" t="str">
        <f>if(Apoio!V5="",,Apoio!V5)</f>
        <v/>
      </c>
      <c r="C42" s="71" t="str">
        <f>if(Apoio!W5="",,Apoio!W5)</f>
        <v/>
      </c>
      <c r="D42" s="71" t="str">
        <f>if(Apoio!X5="",,Apoio!X5)</f>
        <v/>
      </c>
      <c r="E42" s="71" t="str">
        <f>if(Apoio!Y5="",,Apoio!Y5)</f>
        <v/>
      </c>
      <c r="F42" s="72" t="str">
        <f>if(Apoio!Z5="",,Apoio!Z5)</f>
        <v/>
      </c>
      <c r="G42" s="62"/>
      <c r="H42" s="3"/>
      <c r="I42" s="3"/>
      <c r="J42" s="3"/>
      <c r="K42" s="73"/>
      <c r="L42" s="3"/>
      <c r="M42" s="3"/>
      <c r="N42" s="3"/>
      <c r="O42" s="3"/>
    </row>
    <row r="43" ht="13.5" customHeight="1">
      <c r="A43" s="3"/>
      <c r="B43" s="59" t="str">
        <f>if(Apoio!V6="",,Apoio!V6)</f>
        <v/>
      </c>
      <c r="C43" s="71" t="str">
        <f>if(Apoio!W6="",,Apoio!W6)</f>
        <v/>
      </c>
      <c r="D43" s="71" t="str">
        <f>if(Apoio!X6="",,Apoio!X6)</f>
        <v/>
      </c>
      <c r="E43" s="74" t="str">
        <f>if(Apoio!Y6="",,Apoio!Y6)</f>
        <v/>
      </c>
      <c r="F43" s="75" t="str">
        <f>if(Apoio!Z6="",,Apoio!Z6)</f>
        <v/>
      </c>
      <c r="G43" s="62"/>
      <c r="H43" s="3"/>
      <c r="I43" s="3"/>
      <c r="J43" s="3"/>
      <c r="K43" s="73"/>
      <c r="L43" s="3"/>
      <c r="M43" s="3"/>
      <c r="N43" s="3"/>
      <c r="O43" s="3"/>
    </row>
    <row r="44" ht="13.5" customHeight="1">
      <c r="A44" s="3"/>
      <c r="B44" s="59" t="str">
        <f>if(Apoio!V7="",,Apoio!V7)</f>
        <v/>
      </c>
      <c r="C44" s="71" t="str">
        <f>if(Apoio!W7="",,Apoio!W7)</f>
        <v/>
      </c>
      <c r="D44" s="71" t="str">
        <f>if(Apoio!X7="",,Apoio!X7)</f>
        <v/>
      </c>
      <c r="E44" s="71" t="str">
        <f>if(Apoio!Y7="",,Apoio!Y7)</f>
        <v/>
      </c>
      <c r="F44" s="72" t="str">
        <f>if(Apoio!Z7="",,Apoio!Z7)</f>
        <v/>
      </c>
      <c r="G44" s="62"/>
      <c r="H44" s="3"/>
      <c r="I44" s="3"/>
      <c r="J44" s="3"/>
      <c r="K44" s="73"/>
      <c r="L44" s="3"/>
      <c r="M44" s="3"/>
      <c r="N44" s="3"/>
      <c r="O44" s="3"/>
    </row>
    <row r="45" ht="13.5" customHeight="1">
      <c r="A45" s="3"/>
      <c r="B45" s="59" t="str">
        <f>if(Apoio!V8="",,Apoio!V8)</f>
        <v/>
      </c>
      <c r="C45" s="71" t="str">
        <f>if(Apoio!W8="",,Apoio!W8)</f>
        <v/>
      </c>
      <c r="D45" s="71" t="str">
        <f>if(Apoio!X8="",,Apoio!X8)</f>
        <v/>
      </c>
      <c r="E45" s="74" t="str">
        <f>if(Apoio!Y8="",,Apoio!Y8)</f>
        <v/>
      </c>
      <c r="F45" s="75" t="str">
        <f>if(Apoio!Z8="",,Apoio!Z8)</f>
        <v/>
      </c>
      <c r="G45" s="62"/>
      <c r="H45" s="3"/>
      <c r="I45" s="3"/>
      <c r="J45" s="3"/>
      <c r="K45" s="73"/>
      <c r="L45" s="3"/>
      <c r="M45" s="3"/>
      <c r="N45" s="3"/>
      <c r="O45" s="3"/>
    </row>
    <row r="46" ht="13.5" customHeight="1">
      <c r="A46" s="3"/>
      <c r="B46" s="59" t="str">
        <f>if(Apoio!V9="",,Apoio!V9)</f>
        <v/>
      </c>
      <c r="C46" s="71" t="str">
        <f>if(Apoio!W9="",,Apoio!W9)</f>
        <v/>
      </c>
      <c r="D46" s="71" t="str">
        <f>if(Apoio!X9="",,Apoio!X9)</f>
        <v/>
      </c>
      <c r="E46" s="71" t="str">
        <f>if(Apoio!Y9="",,Apoio!Y9)</f>
        <v/>
      </c>
      <c r="F46" s="72" t="str">
        <f>if(Apoio!Z9="",,Apoio!Z9)</f>
        <v/>
      </c>
      <c r="G46" s="62"/>
      <c r="H46" s="3"/>
      <c r="I46" s="3"/>
      <c r="J46" s="3"/>
      <c r="K46" s="73"/>
      <c r="L46" s="3"/>
      <c r="M46" s="3"/>
      <c r="N46" s="3"/>
      <c r="O46" s="3"/>
    </row>
    <row r="47" ht="13.5" customHeight="1">
      <c r="A47" s="3"/>
      <c r="B47" s="59" t="str">
        <f>if(Apoio!V10="",,Apoio!V10)</f>
        <v/>
      </c>
      <c r="C47" s="71" t="str">
        <f>if(Apoio!W10="",,Apoio!W10)</f>
        <v/>
      </c>
      <c r="D47" s="71" t="str">
        <f>if(Apoio!X10="",,Apoio!X10)</f>
        <v/>
      </c>
      <c r="E47" s="74" t="str">
        <f>if(Apoio!Y10="",,Apoio!Y10)</f>
        <v/>
      </c>
      <c r="F47" s="75" t="str">
        <f>if(Apoio!Z10="",,Apoio!Z10)</f>
        <v/>
      </c>
      <c r="G47" s="62"/>
      <c r="H47" s="3"/>
      <c r="I47" s="3"/>
      <c r="J47" s="76"/>
      <c r="K47" s="73"/>
      <c r="L47" s="3"/>
      <c r="M47" s="3"/>
      <c r="N47" s="3"/>
      <c r="O47" s="3"/>
    </row>
    <row r="48" ht="13.5" customHeight="1">
      <c r="A48" s="3"/>
      <c r="B48" s="59" t="str">
        <f>if(Apoio!V11="",,Apoio!V11)</f>
        <v/>
      </c>
      <c r="C48" s="71" t="str">
        <f>if(Apoio!W11="",,Apoio!W11)</f>
        <v/>
      </c>
      <c r="D48" s="71" t="str">
        <f>if(Apoio!X11="",,Apoio!X11)</f>
        <v/>
      </c>
      <c r="E48" s="71" t="str">
        <f>if(Apoio!Y11="",,Apoio!Y11)</f>
        <v/>
      </c>
      <c r="F48" s="72" t="str">
        <f>if(Apoio!Z11="",,Apoio!Z11)</f>
        <v/>
      </c>
      <c r="G48" s="62"/>
      <c r="H48" s="3"/>
      <c r="I48" s="3"/>
      <c r="J48" s="3"/>
      <c r="K48" s="73"/>
      <c r="L48" s="3"/>
      <c r="M48" s="3"/>
      <c r="N48" s="3"/>
      <c r="O48" s="3"/>
    </row>
    <row r="49" ht="13.5" customHeight="1">
      <c r="A49" s="3"/>
      <c r="B49" s="59" t="str">
        <f>if(Apoio!V12="",,Apoio!V12)</f>
        <v/>
      </c>
      <c r="C49" s="71" t="str">
        <f>if(Apoio!W12="",,Apoio!W12)</f>
        <v/>
      </c>
      <c r="D49" s="71" t="str">
        <f>if(Apoio!X12="",,Apoio!X12)</f>
        <v/>
      </c>
      <c r="E49" s="74" t="str">
        <f>if(Apoio!Y12="",,Apoio!Y12)</f>
        <v/>
      </c>
      <c r="F49" s="75" t="str">
        <f>if(Apoio!Z12="",,Apoio!Z12)</f>
        <v/>
      </c>
      <c r="G49" s="62"/>
      <c r="H49" s="3"/>
      <c r="I49" s="3"/>
      <c r="J49" s="3"/>
      <c r="K49" s="73"/>
      <c r="L49" s="3"/>
      <c r="M49" s="3"/>
      <c r="N49" s="3"/>
      <c r="O49" s="3"/>
    </row>
    <row r="50" ht="13.5" customHeight="1">
      <c r="A50" s="3"/>
      <c r="B50" s="59" t="str">
        <f>if(Apoio!V13="",,Apoio!V13)</f>
        <v/>
      </c>
      <c r="C50" s="71" t="str">
        <f>if(Apoio!W13="",,Apoio!W13)</f>
        <v/>
      </c>
      <c r="D50" s="71" t="str">
        <f>if(Apoio!X13="",,Apoio!X13)</f>
        <v/>
      </c>
      <c r="E50" s="71" t="str">
        <f>if(Apoio!Y13="",,Apoio!Y13)</f>
        <v/>
      </c>
      <c r="F50" s="72" t="str">
        <f>if(Apoio!Z13="",,Apoio!Z13)</f>
        <v/>
      </c>
      <c r="G50" s="62"/>
      <c r="H50" s="3"/>
      <c r="I50" s="3"/>
      <c r="J50" s="3"/>
      <c r="K50" s="73"/>
      <c r="L50" s="3"/>
      <c r="M50" s="3"/>
      <c r="N50" s="3"/>
      <c r="O50" s="3"/>
    </row>
    <row r="51" ht="13.5" customHeight="1">
      <c r="A51" s="3"/>
      <c r="B51" s="59" t="str">
        <f>if(Apoio!V14="",,Apoio!V14)</f>
        <v/>
      </c>
      <c r="C51" s="71" t="str">
        <f>if(Apoio!W14="",,Apoio!W14)</f>
        <v/>
      </c>
      <c r="D51" s="71" t="str">
        <f>if(Apoio!X14="",,Apoio!X14)</f>
        <v/>
      </c>
      <c r="E51" s="74" t="str">
        <f>if(Apoio!Y14="",,Apoio!Y14)</f>
        <v/>
      </c>
      <c r="F51" s="75" t="str">
        <f>if(Apoio!Z14="",,Apoio!Z14)</f>
        <v/>
      </c>
      <c r="G51" s="62"/>
      <c r="H51" s="3"/>
      <c r="I51" s="3"/>
      <c r="J51" s="3"/>
      <c r="K51" s="73"/>
      <c r="L51" s="3"/>
      <c r="M51" s="3"/>
      <c r="N51" s="3"/>
      <c r="O51" s="3"/>
    </row>
    <row r="52" ht="13.5" customHeight="1">
      <c r="A52" s="3"/>
      <c r="B52" s="59" t="str">
        <f>if(Apoio!V15="",,Apoio!V15)</f>
        <v/>
      </c>
      <c r="C52" s="71" t="str">
        <f>if(Apoio!W15="",,Apoio!W15)</f>
        <v/>
      </c>
      <c r="D52" s="71" t="str">
        <f>if(Apoio!X15="",,Apoio!X15)</f>
        <v/>
      </c>
      <c r="E52" s="71" t="str">
        <f>if(Apoio!Y15="",,Apoio!Y15)</f>
        <v/>
      </c>
      <c r="F52" s="72" t="str">
        <f>if(Apoio!Z15="",,Apoio!Z15)</f>
        <v/>
      </c>
      <c r="G52" s="62"/>
      <c r="H52" s="3"/>
      <c r="I52" s="3"/>
      <c r="J52" s="3"/>
      <c r="K52" s="73"/>
      <c r="L52" s="3"/>
      <c r="M52" s="3"/>
      <c r="N52" s="3"/>
      <c r="O52" s="3"/>
    </row>
    <row r="53" ht="13.5" customHeight="1">
      <c r="A53" s="3"/>
      <c r="B53" s="59" t="str">
        <f>if(Apoio!V16="",,Apoio!V16)</f>
        <v/>
      </c>
      <c r="C53" s="71" t="str">
        <f>if(Apoio!W16="",,Apoio!W16)</f>
        <v/>
      </c>
      <c r="D53" s="71" t="str">
        <f>if(Apoio!X16="",,Apoio!X16)</f>
        <v/>
      </c>
      <c r="E53" s="74" t="str">
        <f>if(Apoio!Y16="",,Apoio!Y16)</f>
        <v/>
      </c>
      <c r="F53" s="75" t="str">
        <f>if(Apoio!Z16="",,Apoio!Z16)</f>
        <v/>
      </c>
      <c r="G53" s="62"/>
      <c r="H53" s="3"/>
      <c r="I53" s="3"/>
      <c r="J53" s="3"/>
      <c r="K53" s="73"/>
      <c r="L53" s="3"/>
      <c r="M53" s="3"/>
      <c r="N53" s="3"/>
      <c r="O53" s="3"/>
    </row>
    <row r="54" ht="13.5" customHeight="1">
      <c r="A54" s="3"/>
      <c r="B54" s="59" t="str">
        <f>if(Apoio!V17="",,Apoio!V17)</f>
        <v/>
      </c>
      <c r="C54" s="71" t="str">
        <f>if(Apoio!W17="",,Apoio!W17)</f>
        <v/>
      </c>
      <c r="D54" s="71" t="str">
        <f>if(Apoio!X17="",,Apoio!X17)</f>
        <v/>
      </c>
      <c r="E54" s="71" t="str">
        <f>if(Apoio!Y17="",,Apoio!Y17)</f>
        <v/>
      </c>
      <c r="F54" s="72" t="str">
        <f>if(Apoio!Z17="",,Apoio!Z17)</f>
        <v/>
      </c>
      <c r="G54" s="62"/>
      <c r="H54" s="3"/>
      <c r="I54" s="3"/>
      <c r="J54" s="3"/>
      <c r="K54" s="73"/>
      <c r="L54" s="3"/>
      <c r="M54" s="3"/>
      <c r="N54" s="3"/>
      <c r="O54" s="3"/>
    </row>
    <row r="55" ht="13.5" customHeight="1">
      <c r="A55" s="3"/>
      <c r="B55" s="59" t="str">
        <f>if(Apoio!V18="",,Apoio!V18)</f>
        <v/>
      </c>
      <c r="C55" s="71" t="str">
        <f>if(Apoio!W18="",,Apoio!W18)</f>
        <v/>
      </c>
      <c r="D55" s="71" t="str">
        <f>if(Apoio!X18="",,Apoio!X18)</f>
        <v/>
      </c>
      <c r="E55" s="74" t="str">
        <f>if(Apoio!Y18="",,Apoio!Y18)</f>
        <v/>
      </c>
      <c r="F55" s="75" t="str">
        <f>if(Apoio!Z18="",,Apoio!Z18)</f>
        <v/>
      </c>
      <c r="G55" s="62"/>
      <c r="H55" s="3"/>
      <c r="I55" s="3"/>
      <c r="J55" s="3"/>
      <c r="K55" s="73"/>
      <c r="L55" s="3"/>
      <c r="M55" s="3"/>
      <c r="N55" s="3"/>
      <c r="O55" s="3"/>
    </row>
    <row r="56" ht="13.5" customHeight="1">
      <c r="A56" s="3"/>
      <c r="B56" s="59" t="str">
        <f>if(Apoio!V19="",,Apoio!V19)</f>
        <v/>
      </c>
      <c r="C56" s="71" t="str">
        <f>if(Apoio!W19="",,Apoio!W19)</f>
        <v/>
      </c>
      <c r="D56" s="71" t="str">
        <f>if(Apoio!X19="",,Apoio!X19)</f>
        <v/>
      </c>
      <c r="E56" s="71" t="str">
        <f>if(Apoio!Y19="",,Apoio!Y19)</f>
        <v/>
      </c>
      <c r="F56" s="72" t="str">
        <f>if(Apoio!Z19="",,Apoio!Z19)</f>
        <v/>
      </c>
      <c r="G56" s="62"/>
      <c r="H56" s="3"/>
      <c r="I56" s="3"/>
      <c r="J56" s="3"/>
      <c r="K56" s="73"/>
      <c r="L56" s="3"/>
      <c r="M56" s="3"/>
      <c r="N56" s="3"/>
      <c r="O56" s="3"/>
    </row>
    <row r="57" ht="13.5" customHeight="1">
      <c r="A57" s="3"/>
      <c r="B57" s="61" t="str">
        <f>if(Apoio!V20="",,Apoio!V20)</f>
        <v/>
      </c>
      <c r="C57" s="77" t="str">
        <f>if(Apoio!W20="",,Apoio!W20)</f>
        <v/>
      </c>
      <c r="D57" s="77" t="str">
        <f>if(Apoio!X20="",,Apoio!X20)</f>
        <v/>
      </c>
      <c r="E57" s="78" t="str">
        <f>if(Apoio!Y20="",,Apoio!Y20)</f>
        <v/>
      </c>
      <c r="F57" s="79" t="str">
        <f>if(Apoio!Z20="",,Apoio!Z20)</f>
        <v/>
      </c>
      <c r="G57" s="62"/>
      <c r="H57" s="3"/>
      <c r="I57" s="3"/>
      <c r="J57" s="3"/>
      <c r="K57" s="73"/>
      <c r="L57" s="3"/>
      <c r="M57" s="3"/>
      <c r="N57" s="3"/>
      <c r="O57" s="3"/>
    </row>
    <row r="58" ht="17.25" customHeight="1">
      <c r="A58" s="3"/>
      <c r="B58" s="80" t="str">
        <f>if(Apoio!V21="",,Apoio!V21)</f>
        <v/>
      </c>
      <c r="C58" s="81" t="str">
        <f>if(Apoio!W21="",,Apoio!W21)</f>
        <v/>
      </c>
      <c r="D58" s="81" t="str">
        <f>if(Apoio!X21="",,Apoio!X21)</f>
        <v/>
      </c>
      <c r="E58" s="81" t="str">
        <f>if(Apoio!Y21="",,Apoio!Y21)</f>
        <v/>
      </c>
      <c r="F58" s="81" t="str">
        <f>if(Apoio!Z21="",,Apoio!Z21)</f>
        <v/>
      </c>
      <c r="G58" s="62"/>
      <c r="H58" s="3"/>
      <c r="I58" s="3"/>
      <c r="J58" s="3"/>
      <c r="K58" s="73"/>
      <c r="L58" s="3"/>
      <c r="M58" s="3"/>
      <c r="N58" s="3"/>
      <c r="O58" s="3"/>
    </row>
    <row r="59" ht="15.0" customHeight="1">
      <c r="A59" s="3"/>
      <c r="B59" s="45" t="s">
        <v>35</v>
      </c>
      <c r="C59" s="46" t="s">
        <v>25</v>
      </c>
      <c r="D59" s="46" t="s">
        <v>26</v>
      </c>
      <c r="E59" s="46" t="s">
        <v>27</v>
      </c>
      <c r="F59" s="47" t="s">
        <v>28</v>
      </c>
      <c r="G59" s="48"/>
      <c r="H59" s="3"/>
      <c r="I59" s="43"/>
      <c r="K59" s="49"/>
      <c r="L59" s="3"/>
      <c r="M59" s="3"/>
      <c r="N59" s="3"/>
      <c r="O59" s="3"/>
    </row>
    <row r="60" ht="13.5" customHeight="1">
      <c r="A60" s="3"/>
      <c r="B60" s="59" t="str">
        <f>if(Apoio!AB1="",,Apoio!AB1)</f>
        <v/>
      </c>
      <c r="C60" s="71" t="str">
        <f>if(Apoio!AC1="",,Apoio!AC1)</f>
        <v/>
      </c>
      <c r="D60" s="71" t="str">
        <f>if(Apoio!AD1="",,Apoio!AD1)</f>
        <v/>
      </c>
      <c r="E60" s="74" t="str">
        <f>if(Apoio!AE1="",,Apoio!AE1)</f>
        <v/>
      </c>
      <c r="F60" s="75" t="str">
        <f>if(Apoio!AF1="",,Apoio!AF1)</f>
        <v/>
      </c>
      <c r="G60" s="62"/>
      <c r="H60" s="3"/>
      <c r="I60" s="3"/>
      <c r="J60" s="3"/>
      <c r="K60" s="73"/>
      <c r="L60" s="3"/>
      <c r="M60" s="3"/>
      <c r="N60" s="3"/>
      <c r="O60" s="3"/>
    </row>
    <row r="61" ht="13.5" customHeight="1">
      <c r="A61" s="3"/>
      <c r="B61" s="59" t="str">
        <f>if(Apoio!AB2="",,Apoio!AB2)</f>
        <v/>
      </c>
      <c r="C61" s="71" t="str">
        <f>if(Apoio!AC2="",,Apoio!AC2)</f>
        <v/>
      </c>
      <c r="D61" s="71" t="str">
        <f>if(Apoio!AD2="",,Apoio!AD2)</f>
        <v/>
      </c>
      <c r="E61" s="74" t="str">
        <f>if(Apoio!AE2="",,Apoio!AE2)</f>
        <v/>
      </c>
      <c r="F61" s="75" t="str">
        <f>if(Apoio!AF2="",,Apoio!AF2)</f>
        <v/>
      </c>
      <c r="G61" s="62"/>
      <c r="H61" s="3"/>
      <c r="I61" s="3"/>
      <c r="J61" s="3"/>
      <c r="K61" s="73"/>
      <c r="L61" s="3"/>
      <c r="M61" s="3"/>
      <c r="N61" s="3"/>
      <c r="O61" s="3"/>
    </row>
    <row r="62" ht="13.5" customHeight="1">
      <c r="A62" s="3"/>
      <c r="B62" s="59" t="str">
        <f>if(Apoio!AB3="",,Apoio!AB3)</f>
        <v/>
      </c>
      <c r="C62" s="71" t="str">
        <f>if(Apoio!AC3="",,Apoio!AC3)</f>
        <v/>
      </c>
      <c r="D62" s="71" t="str">
        <f>if(Apoio!AD3="",,Apoio!AD3)</f>
        <v/>
      </c>
      <c r="E62" s="71" t="str">
        <f>if(Apoio!AE3="",,Apoio!AE3)</f>
        <v/>
      </c>
      <c r="F62" s="72" t="str">
        <f>if(Apoio!AF3="",,Apoio!AF3)</f>
        <v/>
      </c>
      <c r="G62" s="62"/>
      <c r="H62" s="3"/>
      <c r="I62" s="3"/>
      <c r="J62" s="3"/>
      <c r="K62" s="73"/>
      <c r="L62" s="3"/>
      <c r="M62" s="3"/>
      <c r="N62" s="3"/>
      <c r="O62" s="3"/>
    </row>
    <row r="63" ht="13.5" customHeight="1">
      <c r="A63" s="3"/>
      <c r="B63" s="59" t="str">
        <f>if(Apoio!AB4="",,Apoio!AB4)</f>
        <v/>
      </c>
      <c r="C63" s="71" t="str">
        <f>if(Apoio!AC4="",,Apoio!AC4)</f>
        <v/>
      </c>
      <c r="D63" s="71" t="str">
        <f>if(Apoio!AD4="",,Apoio!AD4)</f>
        <v/>
      </c>
      <c r="E63" s="74" t="str">
        <f>if(Apoio!AE4="",,Apoio!AE4)</f>
        <v/>
      </c>
      <c r="F63" s="75" t="str">
        <f>if(Apoio!AF4="",,Apoio!AF4)</f>
        <v/>
      </c>
      <c r="G63" s="62"/>
      <c r="H63" s="3"/>
      <c r="I63" s="3"/>
      <c r="J63" s="3"/>
      <c r="K63" s="73"/>
      <c r="L63" s="3"/>
      <c r="M63" s="3"/>
      <c r="N63" s="3"/>
      <c r="O63" s="3"/>
    </row>
    <row r="64" ht="13.5" customHeight="1">
      <c r="A64" s="3"/>
      <c r="B64" s="59" t="str">
        <f>if(Apoio!AB5="",,Apoio!AB5)</f>
        <v/>
      </c>
      <c r="C64" s="71" t="str">
        <f>if(Apoio!AC5="",,Apoio!AC5)</f>
        <v/>
      </c>
      <c r="D64" s="71" t="str">
        <f>if(Apoio!AD5="",,Apoio!AD5)</f>
        <v/>
      </c>
      <c r="E64" s="71" t="str">
        <f>if(Apoio!AE5="",,Apoio!AE5)</f>
        <v/>
      </c>
      <c r="F64" s="72" t="str">
        <f>if(Apoio!AF5="",,Apoio!AF5)</f>
        <v/>
      </c>
      <c r="G64" s="62"/>
      <c r="H64" s="3"/>
      <c r="I64" s="3"/>
      <c r="J64" s="3"/>
      <c r="K64" s="73"/>
      <c r="L64" s="3"/>
      <c r="M64" s="3"/>
      <c r="N64" s="3"/>
      <c r="O64" s="3"/>
    </row>
    <row r="65" ht="13.5" customHeight="1">
      <c r="A65" s="3"/>
      <c r="B65" s="59" t="str">
        <f>if(Apoio!AB6="",,Apoio!AB6)</f>
        <v/>
      </c>
      <c r="C65" s="71" t="str">
        <f>if(Apoio!AC6="",,Apoio!AC6)</f>
        <v/>
      </c>
      <c r="D65" s="71" t="str">
        <f>if(Apoio!AD6="",,Apoio!AD6)</f>
        <v/>
      </c>
      <c r="E65" s="74" t="str">
        <f>if(Apoio!AE6="",,Apoio!AE6)</f>
        <v/>
      </c>
      <c r="F65" s="75" t="str">
        <f>if(Apoio!AF6="",,Apoio!AF6)</f>
        <v/>
      </c>
      <c r="G65" s="62"/>
      <c r="H65" s="3"/>
      <c r="I65" s="3"/>
      <c r="J65" s="3"/>
      <c r="K65" s="73"/>
      <c r="L65" s="3"/>
      <c r="M65" s="3"/>
      <c r="N65" s="3"/>
      <c r="O65" s="3"/>
    </row>
    <row r="66" ht="13.5" customHeight="1">
      <c r="A66" s="3"/>
      <c r="B66" s="59" t="str">
        <f>if(Apoio!AB7="",,Apoio!AB7)</f>
        <v/>
      </c>
      <c r="C66" s="71" t="str">
        <f>if(Apoio!AC7="",,Apoio!AC7)</f>
        <v/>
      </c>
      <c r="D66" s="71" t="str">
        <f>if(Apoio!AD7="",,Apoio!AD7)</f>
        <v/>
      </c>
      <c r="E66" s="71" t="str">
        <f>if(Apoio!AE7="",,Apoio!AE7)</f>
        <v/>
      </c>
      <c r="F66" s="72" t="str">
        <f>if(Apoio!AF7="",,Apoio!AF7)</f>
        <v/>
      </c>
      <c r="G66" s="62"/>
      <c r="H66" s="3"/>
      <c r="I66" s="3"/>
      <c r="J66" s="3"/>
      <c r="K66" s="73"/>
      <c r="L66" s="3"/>
      <c r="M66" s="3"/>
      <c r="N66" s="3"/>
      <c r="O66" s="3"/>
    </row>
    <row r="67" ht="13.5" customHeight="1">
      <c r="A67" s="3"/>
      <c r="B67" s="59" t="str">
        <f>if(Apoio!AB8="",,Apoio!AB8)</f>
        <v/>
      </c>
      <c r="C67" s="71" t="str">
        <f>if(Apoio!AC8="",,Apoio!AC8)</f>
        <v/>
      </c>
      <c r="D67" s="71" t="str">
        <f>if(Apoio!AD8="",,Apoio!AD8)</f>
        <v/>
      </c>
      <c r="E67" s="74" t="str">
        <f>if(Apoio!AE8="",,Apoio!AE8)</f>
        <v/>
      </c>
      <c r="F67" s="75" t="str">
        <f>if(Apoio!AF8="",,Apoio!AF8)</f>
        <v/>
      </c>
      <c r="G67" s="62"/>
      <c r="H67" s="3"/>
      <c r="I67" s="3"/>
      <c r="J67" s="3"/>
      <c r="K67" s="73"/>
      <c r="L67" s="3"/>
      <c r="M67" s="3"/>
      <c r="N67" s="3"/>
      <c r="O67" s="3"/>
    </row>
    <row r="68" ht="13.5" customHeight="1">
      <c r="A68" s="3"/>
      <c r="B68" s="59" t="str">
        <f>if(Apoio!AB9="",,Apoio!AB9)</f>
        <v/>
      </c>
      <c r="C68" s="71" t="str">
        <f>if(Apoio!AC9="",,Apoio!AC9)</f>
        <v/>
      </c>
      <c r="D68" s="71" t="str">
        <f>if(Apoio!AD9="",,Apoio!AD9)</f>
        <v/>
      </c>
      <c r="E68" s="71" t="str">
        <f>if(Apoio!AE9="",,Apoio!AE9)</f>
        <v/>
      </c>
      <c r="F68" s="72" t="str">
        <f>if(Apoio!AF9="",,Apoio!AF9)</f>
        <v/>
      </c>
      <c r="G68" s="62"/>
      <c r="H68" s="3"/>
      <c r="I68" s="3"/>
      <c r="J68" s="3"/>
      <c r="K68" s="73"/>
      <c r="L68" s="3"/>
      <c r="M68" s="3"/>
      <c r="N68" s="3"/>
      <c r="O68" s="3"/>
    </row>
    <row r="69" ht="13.5" customHeight="1">
      <c r="A69" s="3"/>
      <c r="B69" s="59" t="str">
        <f>if(Apoio!AB10="",,Apoio!AB10)</f>
        <v/>
      </c>
      <c r="C69" s="71" t="str">
        <f>if(Apoio!AC10="",,Apoio!AC10)</f>
        <v/>
      </c>
      <c r="D69" s="71" t="str">
        <f>if(Apoio!AD10="",,Apoio!AD10)</f>
        <v/>
      </c>
      <c r="E69" s="74" t="str">
        <f>if(Apoio!AE10="",,Apoio!AE10)</f>
        <v/>
      </c>
      <c r="F69" s="75" t="str">
        <f>if(Apoio!AF10="",,Apoio!AF10)</f>
        <v/>
      </c>
      <c r="G69" s="62"/>
      <c r="H69" s="3"/>
      <c r="I69" s="3"/>
      <c r="J69" s="3"/>
      <c r="K69" s="73"/>
      <c r="L69" s="3"/>
      <c r="M69" s="3"/>
      <c r="N69" s="3"/>
      <c r="O69" s="3"/>
    </row>
    <row r="70" ht="13.5" customHeight="1">
      <c r="A70" s="3"/>
      <c r="B70" s="59" t="str">
        <f>if(Apoio!AB11="",,Apoio!AB11)</f>
        <v/>
      </c>
      <c r="C70" s="71" t="str">
        <f>if(Apoio!AC11="",,Apoio!AC11)</f>
        <v/>
      </c>
      <c r="D70" s="71" t="str">
        <f>if(Apoio!AD11="",,Apoio!AD11)</f>
        <v/>
      </c>
      <c r="E70" s="71" t="str">
        <f>if(Apoio!AE11="",,Apoio!AE11)</f>
        <v/>
      </c>
      <c r="F70" s="72" t="str">
        <f>if(Apoio!AF11="",,Apoio!AF11)</f>
        <v/>
      </c>
      <c r="G70" s="62"/>
      <c r="H70" s="3"/>
      <c r="I70" s="3"/>
      <c r="J70" s="3"/>
      <c r="K70" s="73"/>
      <c r="L70" s="3"/>
      <c r="M70" s="3"/>
      <c r="N70" s="3"/>
      <c r="O70" s="3"/>
    </row>
    <row r="71" ht="13.5" customHeight="1">
      <c r="A71" s="3"/>
      <c r="B71" s="59" t="str">
        <f>if(Apoio!AB12="",,Apoio!AB12)</f>
        <v/>
      </c>
      <c r="C71" s="71" t="str">
        <f>if(Apoio!AC12="",,Apoio!AC12)</f>
        <v/>
      </c>
      <c r="D71" s="71" t="str">
        <f>if(Apoio!AD12="",,Apoio!AD12)</f>
        <v/>
      </c>
      <c r="E71" s="74" t="str">
        <f>if(Apoio!AE12="",,Apoio!AE12)</f>
        <v/>
      </c>
      <c r="F71" s="75" t="str">
        <f>if(Apoio!AF12="",,Apoio!AF12)</f>
        <v/>
      </c>
      <c r="G71" s="62"/>
      <c r="H71" s="3"/>
      <c r="I71" s="3"/>
      <c r="J71" s="3"/>
      <c r="K71" s="73"/>
      <c r="L71" s="3"/>
      <c r="M71" s="3"/>
      <c r="N71" s="3"/>
      <c r="O71" s="3"/>
    </row>
    <row r="72" ht="13.5" customHeight="1">
      <c r="A72" s="3"/>
      <c r="B72" s="59" t="str">
        <f>if(Apoio!AB13="",,Apoio!AB13)</f>
        <v/>
      </c>
      <c r="C72" s="71" t="str">
        <f>if(Apoio!AC13="",,Apoio!AC13)</f>
        <v/>
      </c>
      <c r="D72" s="71" t="str">
        <f>if(Apoio!AD13="",,Apoio!AD13)</f>
        <v/>
      </c>
      <c r="E72" s="71" t="str">
        <f>if(Apoio!AE13="",,Apoio!AE13)</f>
        <v/>
      </c>
      <c r="F72" s="72" t="str">
        <f>if(Apoio!AF13="",,Apoio!AF13)</f>
        <v/>
      </c>
      <c r="G72" s="62"/>
      <c r="H72" s="3"/>
      <c r="I72" s="3"/>
      <c r="J72" s="3"/>
      <c r="K72" s="73"/>
      <c r="L72" s="3"/>
      <c r="M72" s="3"/>
      <c r="N72" s="3"/>
      <c r="O72" s="3"/>
    </row>
    <row r="73" ht="13.5" customHeight="1">
      <c r="A73" s="3"/>
      <c r="B73" s="59" t="str">
        <f>if(Apoio!AB14="",,Apoio!AB14)</f>
        <v/>
      </c>
      <c r="C73" s="71" t="str">
        <f>if(Apoio!AC14="",,Apoio!AC14)</f>
        <v/>
      </c>
      <c r="D73" s="71" t="str">
        <f>if(Apoio!AD14="",,Apoio!AD14)</f>
        <v/>
      </c>
      <c r="E73" s="74" t="str">
        <f>if(Apoio!AE14="",,Apoio!AE14)</f>
        <v/>
      </c>
      <c r="F73" s="75" t="str">
        <f>if(Apoio!AF14="",,Apoio!AF14)</f>
        <v/>
      </c>
      <c r="G73" s="62"/>
      <c r="H73" s="3"/>
      <c r="I73" s="3"/>
      <c r="J73" s="3"/>
      <c r="K73" s="73"/>
      <c r="L73" s="3"/>
      <c r="M73" s="3"/>
      <c r="N73" s="3"/>
      <c r="O73" s="3"/>
    </row>
    <row r="74" ht="13.5" customHeight="1">
      <c r="A74" s="3"/>
      <c r="B74" s="59" t="str">
        <f>if(Apoio!AB15="",,Apoio!AB15)</f>
        <v/>
      </c>
      <c r="C74" s="71" t="str">
        <f>if(Apoio!AC15="",,Apoio!AC15)</f>
        <v/>
      </c>
      <c r="D74" s="71" t="str">
        <f>if(Apoio!AD15="",,Apoio!AD15)</f>
        <v/>
      </c>
      <c r="E74" s="71" t="str">
        <f>if(Apoio!AE15="",,Apoio!AE15)</f>
        <v/>
      </c>
      <c r="F74" s="72" t="str">
        <f>if(Apoio!AF15="",,Apoio!AF15)</f>
        <v/>
      </c>
      <c r="G74" s="62"/>
      <c r="H74" s="3"/>
      <c r="I74" s="3"/>
      <c r="J74" s="3"/>
      <c r="K74" s="73"/>
      <c r="L74" s="3"/>
      <c r="M74" s="3"/>
      <c r="N74" s="3"/>
      <c r="O74" s="3"/>
    </row>
    <row r="75" ht="13.5" customHeight="1">
      <c r="A75" s="3"/>
      <c r="B75" s="59" t="str">
        <f>if(Apoio!AB16="",,Apoio!AB16)</f>
        <v/>
      </c>
      <c r="C75" s="71" t="str">
        <f>if(Apoio!AC16="",,Apoio!AC16)</f>
        <v/>
      </c>
      <c r="D75" s="71" t="str">
        <f>if(Apoio!AD16="",,Apoio!AD16)</f>
        <v/>
      </c>
      <c r="E75" s="74" t="str">
        <f>if(Apoio!AE16="",,Apoio!AE16)</f>
        <v/>
      </c>
      <c r="F75" s="75" t="str">
        <f>if(Apoio!AF16="",,Apoio!AF16)</f>
        <v/>
      </c>
      <c r="G75" s="62"/>
      <c r="H75" s="3"/>
      <c r="I75" s="3"/>
      <c r="J75" s="3"/>
      <c r="K75" s="73"/>
      <c r="L75" s="3"/>
      <c r="M75" s="3"/>
      <c r="N75" s="3"/>
      <c r="O75" s="3"/>
    </row>
    <row r="76" ht="13.5" customHeight="1">
      <c r="A76" s="3"/>
      <c r="B76" s="59" t="str">
        <f>if(Apoio!AB17="",,Apoio!AB17)</f>
        <v/>
      </c>
      <c r="C76" s="71" t="str">
        <f>if(Apoio!AC17="",,Apoio!AC17)</f>
        <v/>
      </c>
      <c r="D76" s="71" t="str">
        <f>if(Apoio!AD17="",,Apoio!AD17)</f>
        <v/>
      </c>
      <c r="E76" s="71" t="str">
        <f>if(Apoio!AE17="",,Apoio!AE17)</f>
        <v/>
      </c>
      <c r="F76" s="72" t="str">
        <f>if(Apoio!AF17="",,Apoio!AF17)</f>
        <v/>
      </c>
      <c r="G76" s="62"/>
      <c r="H76" s="3"/>
      <c r="I76" s="3"/>
      <c r="J76" s="3"/>
      <c r="K76" s="73"/>
      <c r="L76" s="3"/>
      <c r="M76" s="3"/>
      <c r="N76" s="3"/>
      <c r="O76" s="3"/>
    </row>
    <row r="77" ht="13.5" customHeight="1">
      <c r="A77" s="3"/>
      <c r="B77" s="59" t="str">
        <f>if(Apoio!AB18="",,Apoio!AB18)</f>
        <v/>
      </c>
      <c r="C77" s="71" t="str">
        <f>if(Apoio!AC18="",,Apoio!AC18)</f>
        <v/>
      </c>
      <c r="D77" s="71" t="str">
        <f>if(Apoio!AD18="",,Apoio!AD18)</f>
        <v/>
      </c>
      <c r="E77" s="74" t="str">
        <f>if(Apoio!AE18="",,Apoio!AE18)</f>
        <v/>
      </c>
      <c r="F77" s="75" t="str">
        <f>if(Apoio!AF18="",,Apoio!AF18)</f>
        <v/>
      </c>
      <c r="G77" s="62"/>
      <c r="H77" s="3"/>
      <c r="I77" s="3"/>
      <c r="J77" s="3"/>
      <c r="K77" s="73"/>
      <c r="L77" s="3"/>
      <c r="M77" s="3"/>
      <c r="N77" s="3"/>
      <c r="O77" s="3"/>
    </row>
    <row r="78" ht="13.5" customHeight="1">
      <c r="A78" s="3"/>
      <c r="B78" s="59" t="str">
        <f>if(Apoio!AB19="",,Apoio!AB19)</f>
        <v/>
      </c>
      <c r="C78" s="71" t="str">
        <f>if(Apoio!AC19="",,Apoio!AC19)</f>
        <v/>
      </c>
      <c r="D78" s="71" t="str">
        <f>if(Apoio!AD19="",,Apoio!AD19)</f>
        <v/>
      </c>
      <c r="E78" s="71" t="str">
        <f>if(Apoio!AE19="",,Apoio!AE19)</f>
        <v/>
      </c>
      <c r="F78" s="72" t="str">
        <f>if(Apoio!AF19="",,Apoio!AF19)</f>
        <v/>
      </c>
      <c r="G78" s="62"/>
      <c r="H78" s="3"/>
      <c r="I78" s="3"/>
      <c r="J78" s="3"/>
      <c r="K78" s="73"/>
      <c r="L78" s="3"/>
      <c r="M78" s="3"/>
      <c r="N78" s="3"/>
      <c r="O78" s="3"/>
    </row>
    <row r="79" ht="13.5" customHeight="1">
      <c r="A79" s="3"/>
      <c r="B79" s="59" t="str">
        <f>if(Apoio!AB20="",,Apoio!AB20)</f>
        <v/>
      </c>
      <c r="C79" s="71" t="str">
        <f>if(Apoio!AC20="",,Apoio!AC20)</f>
        <v/>
      </c>
      <c r="D79" s="71" t="str">
        <f>if(Apoio!AD20="",,Apoio!AD20)</f>
        <v/>
      </c>
      <c r="E79" s="74" t="str">
        <f>if(Apoio!AE20="",,Apoio!AE20)</f>
        <v/>
      </c>
      <c r="F79" s="75" t="str">
        <f>if(Apoio!AF20="",,Apoio!AF20)</f>
        <v/>
      </c>
      <c r="G79" s="62"/>
      <c r="H79" s="3"/>
      <c r="I79" s="3"/>
      <c r="J79" s="3"/>
      <c r="K79" s="73"/>
      <c r="L79" s="3"/>
      <c r="M79" s="3"/>
      <c r="N79" s="3"/>
      <c r="O79" s="3"/>
    </row>
    <row r="80" ht="13.5" customHeight="1">
      <c r="A80" s="3"/>
      <c r="B80" s="61" t="str">
        <f>if(Apoio!AB21="",,Apoio!AB21)</f>
        <v/>
      </c>
      <c r="C80" s="82" t="str">
        <f>if(Apoio!AC21="",,Apoio!AC21)</f>
        <v/>
      </c>
      <c r="D80" s="82" t="str">
        <f>if(Apoio!AD21="",,Apoio!AD21)</f>
        <v/>
      </c>
      <c r="E80" s="82" t="str">
        <f>if(Apoio!AE21="",,Apoio!AE21)</f>
        <v/>
      </c>
      <c r="F80" s="83" t="str">
        <f>if(Apoio!AF21="",,Apoio!AF21)</f>
        <v/>
      </c>
      <c r="G80" s="62"/>
      <c r="H80" s="3"/>
      <c r="I80" s="3"/>
      <c r="J80" s="3"/>
      <c r="K80" s="73"/>
      <c r="L80" s="3"/>
      <c r="M80" s="3"/>
      <c r="N80" s="3"/>
      <c r="O80" s="3"/>
    </row>
    <row r="81" ht="13.5" customHeight="1">
      <c r="A81" s="3"/>
      <c r="B81" s="80"/>
      <c r="C81" s="42"/>
      <c r="D81" s="3"/>
      <c r="E81" s="62"/>
      <c r="F81" s="62"/>
      <c r="G81" s="62"/>
      <c r="H81" s="3"/>
      <c r="I81" s="3"/>
      <c r="J81" s="3"/>
      <c r="K81" s="73"/>
      <c r="L81" s="3"/>
      <c r="M81" s="3"/>
      <c r="N81" s="3"/>
      <c r="O81" s="3"/>
    </row>
  </sheetData>
  <mergeCells count="6">
    <mergeCell ref="B13:F14"/>
    <mergeCell ref="B15:D15"/>
    <mergeCell ref="H17:J22"/>
    <mergeCell ref="H24:J28"/>
    <mergeCell ref="H30:J34"/>
    <mergeCell ref="H36:J39"/>
  </mergeCells>
  <hyperlinks>
    <hyperlink r:id="rId1" ref="H24"/>
    <hyperlink r:id="rId2" ref="H30"/>
    <hyperlink r:id="rId3" ref="H36"/>
  </hyperlinks>
  <printOptions/>
  <pageMargins bottom="0.7875" footer="0.0" header="0.0" left="0.511805555555555" right="0.511805555555555" top="0.7875"/>
  <pageSetup paperSize="9" orientation="portrait"/>
  <drawing r:id="rId4"/>
  <tableParts count="5"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5.57"/>
    <col customWidth="1" min="3" max="3" width="10.0"/>
    <col customWidth="1" hidden="1" min="4" max="4" width="9.43"/>
    <col customWidth="1" min="5" max="5" width="11.57"/>
    <col customWidth="1" hidden="1" min="6" max="6" width="12.29"/>
    <col customWidth="1" min="7" max="7" width="7.71"/>
    <col customWidth="1" hidden="1" min="8" max="8" width="11.86"/>
    <col customWidth="1" hidden="1" min="9" max="9" width="9.29"/>
    <col customWidth="1" min="10" max="10" width="9.71"/>
    <col customWidth="1" hidden="1" min="11" max="11" width="9.14"/>
    <col customWidth="1" min="12" max="12" width="23.29"/>
    <col customWidth="1" min="13" max="13" width="22.86"/>
    <col customWidth="1" min="14" max="14" width="15.43"/>
    <col customWidth="1" min="15" max="15" width="5.14"/>
    <col customWidth="1" min="16" max="16" width="22.0"/>
    <col customWidth="1" min="17" max="17" width="14.14"/>
    <col customWidth="1" min="18" max="18" width="6.43"/>
    <col customWidth="1" min="19" max="20" width="12.14"/>
    <col customWidth="1" min="21" max="21" width="3.0"/>
    <col customWidth="1" hidden="1" min="22" max="23" width="14.71"/>
  </cols>
  <sheetData>
    <row r="1" ht="18.75" customHeight="1">
      <c r="A1" s="84">
        <f>IF(Diretrizes!J3&lt;2,"",Diretrizes!J3)</f>
        <v>12</v>
      </c>
      <c r="B1" s="85"/>
      <c r="C1" s="86" t="s">
        <v>36</v>
      </c>
      <c r="D1" s="87" t="s">
        <v>36</v>
      </c>
      <c r="E1" s="88" t="s">
        <v>37</v>
      </c>
      <c r="F1" s="89" t="s">
        <v>38</v>
      </c>
      <c r="G1" s="90"/>
      <c r="H1" s="91"/>
      <c r="I1" s="91"/>
      <c r="J1" s="88"/>
      <c r="K1" s="92"/>
      <c r="L1" s="90"/>
      <c r="M1" s="90"/>
      <c r="N1" s="90"/>
      <c r="O1" s="93"/>
      <c r="P1" s="93"/>
      <c r="Q1" s="93"/>
      <c r="R1" s="93"/>
      <c r="S1" s="93"/>
      <c r="T1" s="93"/>
      <c r="U1" s="93"/>
      <c r="V1" s="94"/>
      <c r="W1" s="94"/>
    </row>
    <row r="2" ht="18.75" customHeight="1">
      <c r="A2" s="93"/>
      <c r="B2" s="95" t="s">
        <v>39</v>
      </c>
      <c r="C2" s="96" t="s">
        <v>40</v>
      </c>
      <c r="D2" s="87" t="s">
        <v>41</v>
      </c>
      <c r="E2" s="97" t="s">
        <v>40</v>
      </c>
      <c r="F2" s="89" t="s">
        <v>41</v>
      </c>
      <c r="G2" s="98" t="s">
        <v>42</v>
      </c>
      <c r="H2" s="99" t="s">
        <v>43</v>
      </c>
      <c r="I2" s="99" t="s">
        <v>44</v>
      </c>
      <c r="J2" s="97" t="s">
        <v>45</v>
      </c>
      <c r="K2" s="100"/>
      <c r="L2" s="98" t="s">
        <v>39</v>
      </c>
      <c r="M2" s="98" t="s">
        <v>24</v>
      </c>
      <c r="N2" s="98" t="s">
        <v>34</v>
      </c>
      <c r="O2" s="101"/>
      <c r="P2" s="102" t="s">
        <v>46</v>
      </c>
      <c r="Q2" s="103"/>
      <c r="R2" s="104"/>
      <c r="S2" s="105"/>
      <c r="T2" s="106"/>
      <c r="U2" s="106"/>
      <c r="V2" s="107"/>
      <c r="W2" s="107"/>
    </row>
    <row r="3" ht="18.0" customHeight="1">
      <c r="A3" s="93"/>
      <c r="B3" s="108">
        <v>1.0</v>
      </c>
      <c r="C3" s="109">
        <f>Diretrizes!C3</f>
        <v>100</v>
      </c>
      <c r="D3" s="110">
        <f>C3</f>
        <v>100</v>
      </c>
      <c r="E3" s="111">
        <f t="shared" ref="E3:E32" si="1">IF(C3="",,IF(B3="",,C3*J3))</f>
        <v>4</v>
      </c>
      <c r="F3" s="110">
        <f t="shared" ref="F3:F33" si="2">if(D3="",,D3*J3)</f>
        <v>4</v>
      </c>
      <c r="G3" s="112"/>
      <c r="H3" s="113" t="str">
        <f t="shared" ref="H3:H32" si="3">IF(G3="",,G3/C3)</f>
        <v/>
      </c>
      <c r="I3" s="114" t="str">
        <f t="shared" ref="I3:I32" si="4">if(G3="",,G3-F3)</f>
        <v/>
      </c>
      <c r="J3" s="115">
        <f>Diretrizes!C4</f>
        <v>0.04</v>
      </c>
      <c r="K3" s="116"/>
      <c r="L3" s="117"/>
      <c r="M3" s="118"/>
      <c r="N3" s="118"/>
      <c r="O3" s="101" t="s">
        <v>47</v>
      </c>
      <c r="P3" s="119" t="s">
        <v>48</v>
      </c>
      <c r="Q3" s="120"/>
      <c r="R3" s="121"/>
      <c r="S3" s="105"/>
      <c r="T3" s="122"/>
      <c r="U3" s="122"/>
      <c r="V3" s="107" t="str">
        <f t="shared" ref="V3:V109" si="5">if(L3="","", left(L3, find(" x ",L3)-1))</f>
        <v/>
      </c>
      <c r="W3" s="107" t="str">
        <f t="shared" ref="W3:W71" si="6">if(L3="","", TRIM(mid(L3,find(" x ",L3)+3,20)))</f>
        <v/>
      </c>
    </row>
    <row r="4" ht="18.0" customHeight="1">
      <c r="A4" s="93"/>
      <c r="B4" s="123">
        <f t="shared" ref="B4:B32" si="7">IF(B3&lt;$A$1,B3+1,if($A$1="",B3+1,""))</f>
        <v>2</v>
      </c>
      <c r="C4" s="110" t="str">
        <f t="shared" ref="C4:C33" si="8">IF(G3&lt;&gt;0,C3+G3,)</f>
        <v/>
      </c>
      <c r="D4" s="110" t="str">
        <f t="shared" ref="D4:D32" si="9">if(C4="",,D3*(1+J3))</f>
        <v/>
      </c>
      <c r="E4" s="124" t="str">
        <f t="shared" si="1"/>
        <v/>
      </c>
      <c r="F4" s="110" t="str">
        <f t="shared" si="2"/>
        <v/>
      </c>
      <c r="G4" s="125"/>
      <c r="H4" s="116" t="str">
        <f t="shared" si="3"/>
        <v/>
      </c>
      <c r="I4" s="126" t="str">
        <f t="shared" si="4"/>
        <v/>
      </c>
      <c r="J4" s="127">
        <f>if(B4&lt;&gt;"",J3*(1-Diretrizes!C$5),)</f>
        <v>0.04</v>
      </c>
      <c r="K4" s="116" t="str">
        <f t="shared" ref="K4:K12" si="10">IF(AND(D4&gt;$Q$10,D3&lt;$Q$10),"OK","NOK")</f>
        <v>NOK</v>
      </c>
      <c r="L4" s="117"/>
      <c r="M4" s="118"/>
      <c r="N4" s="118"/>
      <c r="O4" s="128" t="s">
        <v>47</v>
      </c>
      <c r="P4" s="121"/>
      <c r="Q4" s="121"/>
      <c r="R4" s="104"/>
      <c r="S4" s="105"/>
      <c r="T4" s="122"/>
      <c r="U4" s="122"/>
      <c r="V4" s="107" t="str">
        <f t="shared" si="5"/>
        <v/>
      </c>
      <c r="W4" s="107" t="str">
        <f t="shared" si="6"/>
        <v/>
      </c>
    </row>
    <row r="5" ht="18.0" customHeight="1">
      <c r="A5" s="93"/>
      <c r="B5" s="123">
        <f t="shared" si="7"/>
        <v>3</v>
      </c>
      <c r="C5" s="110" t="str">
        <f t="shared" si="8"/>
        <v/>
      </c>
      <c r="D5" s="110" t="str">
        <f t="shared" si="9"/>
        <v/>
      </c>
      <c r="E5" s="124" t="str">
        <f t="shared" si="1"/>
        <v/>
      </c>
      <c r="F5" s="110" t="str">
        <f t="shared" si="2"/>
        <v/>
      </c>
      <c r="G5" s="125"/>
      <c r="H5" s="116" t="str">
        <f t="shared" si="3"/>
        <v/>
      </c>
      <c r="I5" s="126" t="str">
        <f t="shared" si="4"/>
        <v/>
      </c>
      <c r="J5" s="127">
        <f>if(B5&lt;&gt;"",J4*(1-Diretrizes!C$5),)</f>
        <v>0.04</v>
      </c>
      <c r="K5" s="116" t="str">
        <f t="shared" si="10"/>
        <v>NOK</v>
      </c>
      <c r="L5" s="129"/>
      <c r="M5" s="118"/>
      <c r="N5" s="118"/>
      <c r="O5" s="130" t="s">
        <v>47</v>
      </c>
      <c r="P5" s="131" t="s">
        <v>6</v>
      </c>
      <c r="Q5" s="132">
        <f>Diretrizes!C3</f>
        <v>100</v>
      </c>
      <c r="R5" s="104"/>
      <c r="S5" s="131" t="s">
        <v>44</v>
      </c>
      <c r="T5" s="132">
        <f>SUM(I3:I32)</f>
        <v>0</v>
      </c>
      <c r="U5" s="133"/>
      <c r="V5" s="107" t="str">
        <f t="shared" si="5"/>
        <v/>
      </c>
      <c r="W5" s="107" t="str">
        <f t="shared" si="6"/>
        <v/>
      </c>
    </row>
    <row r="6" ht="18.0" customHeight="1">
      <c r="A6" s="93"/>
      <c r="B6" s="123">
        <f t="shared" si="7"/>
        <v>4</v>
      </c>
      <c r="C6" s="110" t="str">
        <f t="shared" si="8"/>
        <v/>
      </c>
      <c r="D6" s="110" t="str">
        <f t="shared" si="9"/>
        <v/>
      </c>
      <c r="E6" s="124" t="str">
        <f t="shared" si="1"/>
        <v/>
      </c>
      <c r="F6" s="110" t="str">
        <f t="shared" si="2"/>
        <v/>
      </c>
      <c r="G6" s="125"/>
      <c r="H6" s="116" t="str">
        <f t="shared" si="3"/>
        <v/>
      </c>
      <c r="I6" s="126" t="str">
        <f t="shared" si="4"/>
        <v/>
      </c>
      <c r="J6" s="127">
        <f>if(B6&lt;&gt;"",J5*(1-Diretrizes!C$5),)</f>
        <v>0.04</v>
      </c>
      <c r="K6" s="116" t="str">
        <f t="shared" si="10"/>
        <v>NOK</v>
      </c>
      <c r="L6" s="129"/>
      <c r="M6" s="118"/>
      <c r="N6" s="134"/>
      <c r="O6" s="130" t="s">
        <v>47</v>
      </c>
      <c r="P6" s="131" t="s">
        <v>49</v>
      </c>
      <c r="Q6" s="132">
        <f>Q7+C3</f>
        <v>100</v>
      </c>
      <c r="R6" s="135"/>
      <c r="S6" s="104"/>
      <c r="T6" s="136"/>
      <c r="U6" s="104"/>
      <c r="V6" s="107" t="str">
        <f t="shared" si="5"/>
        <v/>
      </c>
      <c r="W6" s="107" t="str">
        <f t="shared" si="6"/>
        <v/>
      </c>
    </row>
    <row r="7" ht="18.0" customHeight="1">
      <c r="A7" s="93"/>
      <c r="B7" s="123">
        <f t="shared" si="7"/>
        <v>5</v>
      </c>
      <c r="C7" s="110" t="str">
        <f t="shared" si="8"/>
        <v/>
      </c>
      <c r="D7" s="110" t="str">
        <f t="shared" si="9"/>
        <v/>
      </c>
      <c r="E7" s="124" t="str">
        <f t="shared" si="1"/>
        <v/>
      </c>
      <c r="F7" s="110" t="str">
        <f t="shared" si="2"/>
        <v/>
      </c>
      <c r="G7" s="137"/>
      <c r="H7" s="116" t="str">
        <f t="shared" si="3"/>
        <v/>
      </c>
      <c r="I7" s="126" t="str">
        <f t="shared" si="4"/>
        <v/>
      </c>
      <c r="J7" s="127">
        <f>if(B7&lt;&gt;"",J6*(1-Diretrizes!C$5),)</f>
        <v>0.04</v>
      </c>
      <c r="K7" s="116" t="str">
        <f t="shared" si="10"/>
        <v>NOK</v>
      </c>
      <c r="L7" s="129"/>
      <c r="M7" s="118"/>
      <c r="N7" s="118"/>
      <c r="O7" s="130" t="s">
        <v>47</v>
      </c>
      <c r="P7" s="131" t="s">
        <v>50</v>
      </c>
      <c r="Q7" s="132">
        <f>SUM(G3:G32)</f>
        <v>0</v>
      </c>
      <c r="R7" s="135"/>
      <c r="S7" s="102" t="s">
        <v>51</v>
      </c>
      <c r="T7" s="138" t="str">
        <f>IF(G3="",,Q6-'Ciclo 2'!Q5)</f>
        <v/>
      </c>
      <c r="U7" s="139"/>
      <c r="V7" s="107" t="str">
        <f t="shared" si="5"/>
        <v/>
      </c>
      <c r="W7" s="107" t="str">
        <f t="shared" si="6"/>
        <v/>
      </c>
    </row>
    <row r="8" ht="18.0" customHeight="1">
      <c r="A8" s="93"/>
      <c r="B8" s="123">
        <f t="shared" si="7"/>
        <v>6</v>
      </c>
      <c r="C8" s="110" t="str">
        <f t="shared" si="8"/>
        <v/>
      </c>
      <c r="D8" s="110" t="str">
        <f t="shared" si="9"/>
        <v/>
      </c>
      <c r="E8" s="124" t="str">
        <f t="shared" si="1"/>
        <v/>
      </c>
      <c r="F8" s="110" t="str">
        <f t="shared" si="2"/>
        <v/>
      </c>
      <c r="G8" s="137"/>
      <c r="H8" s="116" t="str">
        <f t="shared" si="3"/>
        <v/>
      </c>
      <c r="I8" s="126" t="str">
        <f t="shared" si="4"/>
        <v/>
      </c>
      <c r="J8" s="140">
        <f>if(B8&lt;&gt;"",J7*(1-Diretrizes!C$5),)</f>
        <v>0.04</v>
      </c>
      <c r="K8" s="116" t="str">
        <f t="shared" si="10"/>
        <v>NOK</v>
      </c>
      <c r="L8" s="129"/>
      <c r="M8" s="141"/>
      <c r="N8" s="141"/>
      <c r="O8" s="130" t="s">
        <v>47</v>
      </c>
      <c r="P8" s="142" t="s">
        <v>52</v>
      </c>
      <c r="Q8" s="143">
        <f>Q6/C3-1</f>
        <v>0</v>
      </c>
      <c r="R8" s="104"/>
      <c r="S8" s="104"/>
      <c r="T8" s="135"/>
      <c r="U8" s="135"/>
      <c r="V8" s="107" t="str">
        <f t="shared" si="5"/>
        <v/>
      </c>
      <c r="W8" s="107" t="str">
        <f t="shared" si="6"/>
        <v/>
      </c>
    </row>
    <row r="9" ht="18.0" customHeight="1">
      <c r="A9" s="93"/>
      <c r="B9" s="123">
        <f t="shared" si="7"/>
        <v>7</v>
      </c>
      <c r="C9" s="110" t="str">
        <f t="shared" si="8"/>
        <v/>
      </c>
      <c r="D9" s="110" t="str">
        <f t="shared" si="9"/>
        <v/>
      </c>
      <c r="E9" s="124" t="str">
        <f t="shared" si="1"/>
        <v/>
      </c>
      <c r="F9" s="110" t="str">
        <f t="shared" si="2"/>
        <v/>
      </c>
      <c r="G9" s="137"/>
      <c r="H9" s="116" t="str">
        <f t="shared" si="3"/>
        <v/>
      </c>
      <c r="I9" s="126" t="str">
        <f t="shared" si="4"/>
        <v/>
      </c>
      <c r="J9" s="127">
        <f>if(B9&lt;&gt;"",J8*(1-Diretrizes!C$5),)</f>
        <v>0.04</v>
      </c>
      <c r="K9" s="116" t="str">
        <f t="shared" si="10"/>
        <v>NOK</v>
      </c>
      <c r="L9" s="129"/>
      <c r="M9" s="141"/>
      <c r="N9" s="141"/>
      <c r="O9" s="130" t="s">
        <v>47</v>
      </c>
      <c r="P9" s="144"/>
      <c r="Q9" s="144"/>
      <c r="R9" s="104"/>
      <c r="S9" s="105"/>
      <c r="T9" s="122"/>
      <c r="U9" s="122"/>
      <c r="V9" s="107" t="str">
        <f t="shared" si="5"/>
        <v/>
      </c>
      <c r="W9" s="107" t="str">
        <f t="shared" si="6"/>
        <v/>
      </c>
    </row>
    <row r="10" ht="18.0" customHeight="1">
      <c r="A10" s="93"/>
      <c r="B10" s="123">
        <f t="shared" si="7"/>
        <v>8</v>
      </c>
      <c r="C10" s="110" t="str">
        <f t="shared" si="8"/>
        <v/>
      </c>
      <c r="D10" s="110" t="str">
        <f t="shared" si="9"/>
        <v/>
      </c>
      <c r="E10" s="124" t="str">
        <f t="shared" si="1"/>
        <v/>
      </c>
      <c r="F10" s="110" t="str">
        <f t="shared" si="2"/>
        <v/>
      </c>
      <c r="G10" s="137"/>
      <c r="H10" s="116" t="str">
        <f t="shared" si="3"/>
        <v/>
      </c>
      <c r="I10" s="126" t="str">
        <f t="shared" si="4"/>
        <v/>
      </c>
      <c r="J10" s="127">
        <f>if(B10&lt;&gt;"",J9*(1-Diretrizes!C$5),)</f>
        <v>0.04</v>
      </c>
      <c r="K10" s="116" t="str">
        <f t="shared" si="10"/>
        <v>NOK</v>
      </c>
      <c r="L10" s="129"/>
      <c r="M10" s="118"/>
      <c r="N10" s="141"/>
      <c r="O10" s="145" t="s">
        <v>47</v>
      </c>
      <c r="P10" s="131" t="s">
        <v>53</v>
      </c>
      <c r="Q10" s="132">
        <f>Diretrizes!C7</f>
        <v>150</v>
      </c>
      <c r="R10" s="146"/>
      <c r="S10" s="93"/>
      <c r="T10" s="147"/>
      <c r="U10" s="147"/>
      <c r="V10" s="107" t="str">
        <f t="shared" si="5"/>
        <v/>
      </c>
      <c r="W10" s="107" t="str">
        <f t="shared" si="6"/>
        <v/>
      </c>
    </row>
    <row r="11" ht="18.0" customHeight="1">
      <c r="A11" s="93"/>
      <c r="B11" s="123">
        <f t="shared" si="7"/>
        <v>9</v>
      </c>
      <c r="C11" s="110" t="str">
        <f t="shared" si="8"/>
        <v/>
      </c>
      <c r="D11" s="110" t="str">
        <f t="shared" si="9"/>
        <v/>
      </c>
      <c r="E11" s="124" t="str">
        <f t="shared" si="1"/>
        <v/>
      </c>
      <c r="F11" s="110" t="str">
        <f t="shared" si="2"/>
        <v/>
      </c>
      <c r="G11" s="137"/>
      <c r="H11" s="116" t="str">
        <f t="shared" si="3"/>
        <v/>
      </c>
      <c r="I11" s="126" t="str">
        <f t="shared" si="4"/>
        <v/>
      </c>
      <c r="J11" s="127">
        <f>if(B11&lt;&gt;"",J10*(1-Diretrizes!C$5),)</f>
        <v>0.04</v>
      </c>
      <c r="K11" s="116" t="str">
        <f t="shared" si="10"/>
        <v>NOK</v>
      </c>
      <c r="L11" s="129"/>
      <c r="M11" s="118"/>
      <c r="N11" s="118"/>
      <c r="O11" s="145" t="s">
        <v>47</v>
      </c>
      <c r="U11" s="147"/>
      <c r="V11" s="107" t="str">
        <f t="shared" si="5"/>
        <v/>
      </c>
      <c r="W11" s="107" t="str">
        <f t="shared" si="6"/>
        <v/>
      </c>
    </row>
    <row r="12" ht="18.0" customHeight="1">
      <c r="A12" s="93"/>
      <c r="B12" s="123">
        <f t="shared" si="7"/>
        <v>10</v>
      </c>
      <c r="C12" s="110" t="str">
        <f t="shared" si="8"/>
        <v/>
      </c>
      <c r="D12" s="110" t="str">
        <f t="shared" si="9"/>
        <v/>
      </c>
      <c r="E12" s="124" t="str">
        <f t="shared" si="1"/>
        <v/>
      </c>
      <c r="F12" s="110" t="str">
        <f t="shared" si="2"/>
        <v/>
      </c>
      <c r="G12" s="137"/>
      <c r="H12" s="116" t="str">
        <f t="shared" si="3"/>
        <v/>
      </c>
      <c r="I12" s="126" t="str">
        <f t="shared" si="4"/>
        <v/>
      </c>
      <c r="J12" s="127">
        <f>if(B12&lt;&gt;"",J11*(1-Diretrizes!C$5),)</f>
        <v>0.04</v>
      </c>
      <c r="K12" s="116" t="str">
        <f t="shared" si="10"/>
        <v>NOK</v>
      </c>
      <c r="L12" s="129"/>
      <c r="M12" s="118"/>
      <c r="N12" s="118"/>
      <c r="O12" s="148" t="s">
        <v>47</v>
      </c>
      <c r="P12" s="149" t="s">
        <v>54</v>
      </c>
      <c r="Q12" s="93"/>
      <c r="R12" s="93"/>
      <c r="S12" s="93"/>
      <c r="T12" s="147"/>
      <c r="U12" s="147"/>
      <c r="V12" s="107" t="str">
        <f t="shared" si="5"/>
        <v/>
      </c>
      <c r="W12" s="107" t="str">
        <f t="shared" si="6"/>
        <v/>
      </c>
    </row>
    <row r="13" ht="18.0" customHeight="1">
      <c r="A13" s="93"/>
      <c r="B13" s="123">
        <f t="shared" si="7"/>
        <v>11</v>
      </c>
      <c r="C13" s="110" t="str">
        <f t="shared" si="8"/>
        <v/>
      </c>
      <c r="D13" s="110" t="str">
        <f t="shared" si="9"/>
        <v/>
      </c>
      <c r="E13" s="124" t="str">
        <f t="shared" si="1"/>
        <v/>
      </c>
      <c r="F13" s="110" t="str">
        <f t="shared" si="2"/>
        <v/>
      </c>
      <c r="G13" s="137"/>
      <c r="H13" s="116" t="str">
        <f t="shared" si="3"/>
        <v/>
      </c>
      <c r="I13" s="126" t="str">
        <f t="shared" si="4"/>
        <v/>
      </c>
      <c r="J13" s="127">
        <f>if(B13&lt;&gt;"",J12*(1-Diretrizes!C$5),)</f>
        <v>0.04</v>
      </c>
      <c r="K13" s="116"/>
      <c r="L13" s="129"/>
      <c r="M13" s="150"/>
      <c r="N13" s="118"/>
      <c r="O13" s="151" t="s">
        <v>47</v>
      </c>
      <c r="P13" s="152" t="s">
        <v>24</v>
      </c>
      <c r="Q13" s="153" t="s">
        <v>26</v>
      </c>
      <c r="R13" s="153" t="s">
        <v>55</v>
      </c>
      <c r="S13" s="153" t="s">
        <v>27</v>
      </c>
      <c r="T13" s="154" t="s">
        <v>28</v>
      </c>
      <c r="U13" s="147"/>
      <c r="V13" s="107" t="str">
        <f t="shared" si="5"/>
        <v/>
      </c>
      <c r="W13" s="107" t="str">
        <f t="shared" si="6"/>
        <v/>
      </c>
    </row>
    <row r="14" ht="18.0" customHeight="1">
      <c r="A14" s="93"/>
      <c r="B14" s="123">
        <f t="shared" si="7"/>
        <v>12</v>
      </c>
      <c r="C14" s="110" t="str">
        <f t="shared" si="8"/>
        <v/>
      </c>
      <c r="D14" s="110" t="str">
        <f t="shared" si="9"/>
        <v/>
      </c>
      <c r="E14" s="124" t="str">
        <f t="shared" si="1"/>
        <v/>
      </c>
      <c r="F14" s="110" t="str">
        <f t="shared" si="2"/>
        <v/>
      </c>
      <c r="G14" s="137"/>
      <c r="H14" s="116" t="str">
        <f t="shared" si="3"/>
        <v/>
      </c>
      <c r="I14" s="126" t="str">
        <f t="shared" si="4"/>
        <v/>
      </c>
      <c r="J14" s="127">
        <f>if(B14&lt;&gt;"",J13*(1-Diretrizes!C$5),)</f>
        <v>0.04</v>
      </c>
      <c r="K14" s="116"/>
      <c r="L14" s="129"/>
      <c r="M14" s="150"/>
      <c r="N14" s="118"/>
      <c r="O14" s="148" t="s">
        <v>47</v>
      </c>
      <c r="P14" s="155" t="str">
        <f t="array" ref="P14">sort(unique(M3:M112))</f>
        <v/>
      </c>
      <c r="Q14" s="156" t="str">
        <f t="shared" ref="Q14:Q24" si="11">if(P14="","", sumif(M$3:M112,P14,G$3:G112))</f>
        <v/>
      </c>
      <c r="R14" s="157" t="str">
        <f t="shared" ref="R14:R24" si="12">if(P14="","", countif(M$3:M112,P14))</f>
        <v/>
      </c>
      <c r="S14" s="158" t="str">
        <f t="shared" ref="S14:S24" si="13">if(P14="","", averageif(M$3:M112,P14,H$3:H112))</f>
        <v/>
      </c>
      <c r="T14" s="158" t="str">
        <f t="shared" ref="T14:T24" si="14">if(P14="","",Q14/sum($G$3:$G112))</f>
        <v/>
      </c>
      <c r="U14" s="147"/>
      <c r="V14" s="107" t="str">
        <f t="shared" si="5"/>
        <v/>
      </c>
      <c r="W14" s="107" t="str">
        <f t="shared" si="6"/>
        <v/>
      </c>
    </row>
    <row r="15" ht="18.0" customHeight="1">
      <c r="A15" s="93"/>
      <c r="B15" s="123" t="str">
        <f t="shared" si="7"/>
        <v/>
      </c>
      <c r="C15" s="110" t="str">
        <f t="shared" si="8"/>
        <v/>
      </c>
      <c r="D15" s="110" t="str">
        <f t="shared" si="9"/>
        <v/>
      </c>
      <c r="E15" s="124" t="str">
        <f t="shared" si="1"/>
        <v/>
      </c>
      <c r="F15" s="110" t="str">
        <f t="shared" si="2"/>
        <v/>
      </c>
      <c r="G15" s="137"/>
      <c r="H15" s="116" t="str">
        <f t="shared" si="3"/>
        <v/>
      </c>
      <c r="I15" s="126" t="str">
        <f t="shared" si="4"/>
        <v/>
      </c>
      <c r="J15" s="127" t="str">
        <f>if(B15&lt;&gt;"",J14*(1-Diretrizes!C$5),)</f>
        <v/>
      </c>
      <c r="K15" s="116"/>
      <c r="L15" s="129"/>
      <c r="M15" s="150"/>
      <c r="N15" s="118"/>
      <c r="O15" s="148" t="s">
        <v>47</v>
      </c>
      <c r="P15" s="155"/>
      <c r="Q15" s="156" t="str">
        <f t="shared" si="11"/>
        <v/>
      </c>
      <c r="R15" s="157" t="str">
        <f t="shared" si="12"/>
        <v/>
      </c>
      <c r="S15" s="158" t="str">
        <f t="shared" si="13"/>
        <v/>
      </c>
      <c r="T15" s="158" t="str">
        <f t="shared" si="14"/>
        <v/>
      </c>
      <c r="U15" s="147"/>
      <c r="V15" s="107" t="str">
        <f t="shared" si="5"/>
        <v/>
      </c>
      <c r="W15" s="107" t="str">
        <f t="shared" si="6"/>
        <v/>
      </c>
    </row>
    <row r="16" ht="18.0" customHeight="1">
      <c r="A16" s="93"/>
      <c r="B16" s="123" t="str">
        <f t="shared" si="7"/>
        <v/>
      </c>
      <c r="C16" s="110" t="str">
        <f t="shared" si="8"/>
        <v/>
      </c>
      <c r="D16" s="110" t="str">
        <f t="shared" si="9"/>
        <v/>
      </c>
      <c r="E16" s="124" t="str">
        <f t="shared" si="1"/>
        <v/>
      </c>
      <c r="F16" s="110" t="str">
        <f t="shared" si="2"/>
        <v/>
      </c>
      <c r="G16" s="137"/>
      <c r="H16" s="116" t="str">
        <f t="shared" si="3"/>
        <v/>
      </c>
      <c r="I16" s="126" t="str">
        <f t="shared" si="4"/>
        <v/>
      </c>
      <c r="J16" s="127" t="str">
        <f>if(B16&lt;&gt;"",J15*(1-Diretrizes!C$5),)</f>
        <v/>
      </c>
      <c r="K16" s="116"/>
      <c r="L16" s="129"/>
      <c r="M16" s="150"/>
      <c r="N16" s="118"/>
      <c r="O16" s="148" t="s">
        <v>47</v>
      </c>
      <c r="P16" s="155"/>
      <c r="Q16" s="156" t="str">
        <f t="shared" si="11"/>
        <v/>
      </c>
      <c r="R16" s="157" t="str">
        <f t="shared" si="12"/>
        <v/>
      </c>
      <c r="S16" s="158" t="str">
        <f t="shared" si="13"/>
        <v/>
      </c>
      <c r="T16" s="158" t="str">
        <f t="shared" si="14"/>
        <v/>
      </c>
      <c r="U16" s="147"/>
      <c r="V16" s="107" t="str">
        <f t="shared" si="5"/>
        <v/>
      </c>
      <c r="W16" s="107" t="str">
        <f t="shared" si="6"/>
        <v/>
      </c>
    </row>
    <row r="17" ht="18.0" customHeight="1">
      <c r="A17" s="93"/>
      <c r="B17" s="123" t="str">
        <f t="shared" si="7"/>
        <v/>
      </c>
      <c r="C17" s="110" t="str">
        <f t="shared" si="8"/>
        <v/>
      </c>
      <c r="D17" s="110" t="str">
        <f t="shared" si="9"/>
        <v/>
      </c>
      <c r="E17" s="124" t="str">
        <f t="shared" si="1"/>
        <v/>
      </c>
      <c r="F17" s="110" t="str">
        <f t="shared" si="2"/>
        <v/>
      </c>
      <c r="G17" s="137"/>
      <c r="H17" s="116" t="str">
        <f t="shared" si="3"/>
        <v/>
      </c>
      <c r="I17" s="126" t="str">
        <f t="shared" si="4"/>
        <v/>
      </c>
      <c r="J17" s="127" t="str">
        <f>if(B17&lt;&gt;"",J16*(1-Diretrizes!C$5),)</f>
        <v/>
      </c>
      <c r="K17" s="116"/>
      <c r="L17" s="129"/>
      <c r="M17" s="150"/>
      <c r="N17" s="118"/>
      <c r="O17" s="148" t="s">
        <v>47</v>
      </c>
      <c r="P17" s="155"/>
      <c r="Q17" s="156" t="str">
        <f t="shared" si="11"/>
        <v/>
      </c>
      <c r="R17" s="157" t="str">
        <f t="shared" si="12"/>
        <v/>
      </c>
      <c r="S17" s="158" t="str">
        <f t="shared" si="13"/>
        <v/>
      </c>
      <c r="T17" s="158" t="str">
        <f t="shared" si="14"/>
        <v/>
      </c>
      <c r="U17" s="147"/>
      <c r="V17" s="107" t="str">
        <f t="shared" si="5"/>
        <v/>
      </c>
      <c r="W17" s="107" t="str">
        <f t="shared" si="6"/>
        <v/>
      </c>
    </row>
    <row r="18" ht="18.0" customHeight="1">
      <c r="A18" s="93"/>
      <c r="B18" s="123" t="str">
        <f t="shared" si="7"/>
        <v/>
      </c>
      <c r="C18" s="110" t="str">
        <f t="shared" si="8"/>
        <v/>
      </c>
      <c r="D18" s="110" t="str">
        <f t="shared" si="9"/>
        <v/>
      </c>
      <c r="E18" s="124" t="str">
        <f t="shared" si="1"/>
        <v/>
      </c>
      <c r="F18" s="110" t="str">
        <f t="shared" si="2"/>
        <v/>
      </c>
      <c r="G18" s="137"/>
      <c r="H18" s="116" t="str">
        <f t="shared" si="3"/>
        <v/>
      </c>
      <c r="I18" s="126" t="str">
        <f t="shared" si="4"/>
        <v/>
      </c>
      <c r="J18" s="127" t="str">
        <f>if(B18&lt;&gt;"",J17*(1-Diretrizes!C$5),)</f>
        <v/>
      </c>
      <c r="K18" s="116"/>
      <c r="L18" s="129"/>
      <c r="M18" s="150"/>
      <c r="N18" s="118"/>
      <c r="O18" s="159" t="s">
        <v>47</v>
      </c>
      <c r="P18" s="155"/>
      <c r="Q18" s="156" t="str">
        <f t="shared" si="11"/>
        <v/>
      </c>
      <c r="R18" s="157" t="str">
        <f t="shared" si="12"/>
        <v/>
      </c>
      <c r="S18" s="158" t="str">
        <f t="shared" si="13"/>
        <v/>
      </c>
      <c r="T18" s="158" t="str">
        <f t="shared" si="14"/>
        <v/>
      </c>
      <c r="U18" s="160"/>
      <c r="V18" s="107" t="str">
        <f t="shared" si="5"/>
        <v/>
      </c>
      <c r="W18" s="107" t="str">
        <f t="shared" si="6"/>
        <v/>
      </c>
    </row>
    <row r="19" ht="18.0" customHeight="1">
      <c r="A19" s="93"/>
      <c r="B19" s="123" t="str">
        <f t="shared" si="7"/>
        <v/>
      </c>
      <c r="C19" s="110" t="str">
        <f t="shared" si="8"/>
        <v/>
      </c>
      <c r="D19" s="110" t="str">
        <f t="shared" si="9"/>
        <v/>
      </c>
      <c r="E19" s="124" t="str">
        <f t="shared" si="1"/>
        <v/>
      </c>
      <c r="F19" s="110" t="str">
        <f t="shared" si="2"/>
        <v/>
      </c>
      <c r="G19" s="137"/>
      <c r="H19" s="116" t="str">
        <f t="shared" si="3"/>
        <v/>
      </c>
      <c r="I19" s="126" t="str">
        <f t="shared" si="4"/>
        <v/>
      </c>
      <c r="J19" s="127" t="str">
        <f>if(B19&lt;&gt;"",J18*(1-Diretrizes!C$5),)</f>
        <v/>
      </c>
      <c r="K19" s="116"/>
      <c r="L19" s="129"/>
      <c r="M19" s="150"/>
      <c r="N19" s="118"/>
      <c r="O19" s="148" t="s">
        <v>47</v>
      </c>
      <c r="P19" s="155"/>
      <c r="Q19" s="156" t="str">
        <f t="shared" si="11"/>
        <v/>
      </c>
      <c r="R19" s="157" t="str">
        <f t="shared" si="12"/>
        <v/>
      </c>
      <c r="S19" s="158" t="str">
        <f t="shared" si="13"/>
        <v/>
      </c>
      <c r="T19" s="158" t="str">
        <f t="shared" si="14"/>
        <v/>
      </c>
      <c r="U19" s="147"/>
      <c r="V19" s="107" t="str">
        <f t="shared" si="5"/>
        <v/>
      </c>
      <c r="W19" s="107" t="str">
        <f t="shared" si="6"/>
        <v/>
      </c>
    </row>
    <row r="20" ht="18.0" customHeight="1">
      <c r="A20" s="93"/>
      <c r="B20" s="123" t="str">
        <f t="shared" si="7"/>
        <v/>
      </c>
      <c r="C20" s="110" t="str">
        <f t="shared" si="8"/>
        <v/>
      </c>
      <c r="D20" s="110" t="str">
        <f t="shared" si="9"/>
        <v/>
      </c>
      <c r="E20" s="124" t="str">
        <f t="shared" si="1"/>
        <v/>
      </c>
      <c r="F20" s="110" t="str">
        <f t="shared" si="2"/>
        <v/>
      </c>
      <c r="G20" s="137"/>
      <c r="H20" s="116" t="str">
        <f t="shared" si="3"/>
        <v/>
      </c>
      <c r="I20" s="126" t="str">
        <f t="shared" si="4"/>
        <v/>
      </c>
      <c r="J20" s="127" t="str">
        <f>if(B20&lt;&gt;"",J19*(1-Diretrizes!C$5),)</f>
        <v/>
      </c>
      <c r="K20" s="116"/>
      <c r="L20" s="129"/>
      <c r="M20" s="150"/>
      <c r="N20" s="118"/>
      <c r="O20" s="148" t="s">
        <v>47</v>
      </c>
      <c r="P20" s="155"/>
      <c r="Q20" s="156" t="str">
        <f t="shared" si="11"/>
        <v/>
      </c>
      <c r="R20" s="157" t="str">
        <f t="shared" si="12"/>
        <v/>
      </c>
      <c r="S20" s="158" t="str">
        <f t="shared" si="13"/>
        <v/>
      </c>
      <c r="T20" s="158" t="str">
        <f t="shared" si="14"/>
        <v/>
      </c>
      <c r="U20" s="147"/>
      <c r="V20" s="107" t="str">
        <f t="shared" si="5"/>
        <v/>
      </c>
      <c r="W20" s="107" t="str">
        <f t="shared" si="6"/>
        <v/>
      </c>
    </row>
    <row r="21" ht="18.0" customHeight="1">
      <c r="A21" s="93"/>
      <c r="B21" s="123" t="str">
        <f t="shared" si="7"/>
        <v/>
      </c>
      <c r="C21" s="110" t="str">
        <f t="shared" si="8"/>
        <v/>
      </c>
      <c r="D21" s="110" t="str">
        <f t="shared" si="9"/>
        <v/>
      </c>
      <c r="E21" s="124" t="str">
        <f t="shared" si="1"/>
        <v/>
      </c>
      <c r="F21" s="110" t="str">
        <f t="shared" si="2"/>
        <v/>
      </c>
      <c r="G21" s="137"/>
      <c r="H21" s="116" t="str">
        <f t="shared" si="3"/>
        <v/>
      </c>
      <c r="I21" s="126" t="str">
        <f t="shared" si="4"/>
        <v/>
      </c>
      <c r="J21" s="127" t="str">
        <f>if(B21&lt;&gt;"",J20*(1-Diretrizes!C$5),)</f>
        <v/>
      </c>
      <c r="K21" s="116"/>
      <c r="L21" s="129"/>
      <c r="M21" s="150"/>
      <c r="N21" s="118"/>
      <c r="O21" s="148" t="s">
        <v>47</v>
      </c>
      <c r="P21" s="155"/>
      <c r="Q21" s="156" t="str">
        <f t="shared" si="11"/>
        <v/>
      </c>
      <c r="R21" s="157" t="str">
        <f t="shared" si="12"/>
        <v/>
      </c>
      <c r="S21" s="158" t="str">
        <f t="shared" si="13"/>
        <v/>
      </c>
      <c r="T21" s="158" t="str">
        <f t="shared" si="14"/>
        <v/>
      </c>
      <c r="U21" s="147"/>
      <c r="V21" s="107" t="str">
        <f t="shared" si="5"/>
        <v/>
      </c>
      <c r="W21" s="107" t="str">
        <f t="shared" si="6"/>
        <v/>
      </c>
    </row>
    <row r="22" ht="18.0" customHeight="1">
      <c r="A22" s="93"/>
      <c r="B22" s="123" t="str">
        <f t="shared" si="7"/>
        <v/>
      </c>
      <c r="C22" s="110" t="str">
        <f t="shared" si="8"/>
        <v/>
      </c>
      <c r="D22" s="110" t="str">
        <f t="shared" si="9"/>
        <v/>
      </c>
      <c r="E22" s="124" t="str">
        <f t="shared" si="1"/>
        <v/>
      </c>
      <c r="F22" s="110" t="str">
        <f t="shared" si="2"/>
        <v/>
      </c>
      <c r="G22" s="137"/>
      <c r="H22" s="116" t="str">
        <f t="shared" si="3"/>
        <v/>
      </c>
      <c r="I22" s="126" t="str">
        <f t="shared" si="4"/>
        <v/>
      </c>
      <c r="J22" s="127" t="str">
        <f>if(B22&lt;&gt;"",J21*(1-Diretrizes!C$5),)</f>
        <v/>
      </c>
      <c r="K22" s="116"/>
      <c r="L22" s="129"/>
      <c r="M22" s="150"/>
      <c r="N22" s="118"/>
      <c r="O22" s="148" t="s">
        <v>47</v>
      </c>
      <c r="P22" s="155"/>
      <c r="Q22" s="156" t="str">
        <f t="shared" si="11"/>
        <v/>
      </c>
      <c r="R22" s="157" t="str">
        <f t="shared" si="12"/>
        <v/>
      </c>
      <c r="S22" s="158" t="str">
        <f t="shared" si="13"/>
        <v/>
      </c>
      <c r="T22" s="158" t="str">
        <f t="shared" si="14"/>
        <v/>
      </c>
      <c r="U22" s="147"/>
      <c r="V22" s="107" t="str">
        <f t="shared" si="5"/>
        <v/>
      </c>
      <c r="W22" s="107" t="str">
        <f t="shared" si="6"/>
        <v/>
      </c>
    </row>
    <row r="23" ht="18.0" customHeight="1">
      <c r="A23" s="93"/>
      <c r="B23" s="123" t="str">
        <f t="shared" si="7"/>
        <v/>
      </c>
      <c r="C23" s="110" t="str">
        <f t="shared" si="8"/>
        <v/>
      </c>
      <c r="D23" s="110" t="str">
        <f t="shared" si="9"/>
        <v/>
      </c>
      <c r="E23" s="124" t="str">
        <f t="shared" si="1"/>
        <v/>
      </c>
      <c r="F23" s="110" t="str">
        <f t="shared" si="2"/>
        <v/>
      </c>
      <c r="G23" s="137"/>
      <c r="H23" s="116" t="str">
        <f t="shared" si="3"/>
        <v/>
      </c>
      <c r="I23" s="126" t="str">
        <f t="shared" si="4"/>
        <v/>
      </c>
      <c r="J23" s="127" t="str">
        <f>if(B23&lt;&gt;"",J22*(1-Diretrizes!C$5),)</f>
        <v/>
      </c>
      <c r="K23" s="116"/>
      <c r="L23" s="129"/>
      <c r="M23" s="150"/>
      <c r="N23" s="118"/>
      <c r="O23" s="148" t="s">
        <v>47</v>
      </c>
      <c r="P23" s="155"/>
      <c r="Q23" s="156" t="str">
        <f t="shared" si="11"/>
        <v/>
      </c>
      <c r="R23" s="157" t="str">
        <f t="shared" si="12"/>
        <v/>
      </c>
      <c r="S23" s="158" t="str">
        <f t="shared" si="13"/>
        <v/>
      </c>
      <c r="T23" s="158" t="str">
        <f t="shared" si="14"/>
        <v/>
      </c>
      <c r="U23" s="147"/>
      <c r="V23" s="107" t="str">
        <f t="shared" si="5"/>
        <v/>
      </c>
      <c r="W23" s="107" t="str">
        <f t="shared" si="6"/>
        <v/>
      </c>
    </row>
    <row r="24" ht="18.0" customHeight="1">
      <c r="A24" s="93"/>
      <c r="B24" s="123" t="str">
        <f t="shared" si="7"/>
        <v/>
      </c>
      <c r="C24" s="110" t="str">
        <f t="shared" si="8"/>
        <v/>
      </c>
      <c r="D24" s="110" t="str">
        <f t="shared" si="9"/>
        <v/>
      </c>
      <c r="E24" s="124" t="str">
        <f t="shared" si="1"/>
        <v/>
      </c>
      <c r="F24" s="110" t="str">
        <f t="shared" si="2"/>
        <v/>
      </c>
      <c r="G24" s="137"/>
      <c r="H24" s="116" t="str">
        <f t="shared" si="3"/>
        <v/>
      </c>
      <c r="I24" s="126" t="str">
        <f t="shared" si="4"/>
        <v/>
      </c>
      <c r="J24" s="127" t="str">
        <f>if(B24&lt;&gt;"",J23*(1-Diretrizes!C$5),)</f>
        <v/>
      </c>
      <c r="K24" s="116"/>
      <c r="L24" s="129"/>
      <c r="M24" s="150"/>
      <c r="N24" s="118"/>
      <c r="O24" s="148" t="s">
        <v>47</v>
      </c>
      <c r="P24" s="161"/>
      <c r="Q24" s="161" t="str">
        <f t="shared" si="11"/>
        <v/>
      </c>
      <c r="R24" s="161" t="str">
        <f t="shared" si="12"/>
        <v/>
      </c>
      <c r="S24" s="161" t="str">
        <f t="shared" si="13"/>
        <v/>
      </c>
      <c r="T24" s="161" t="str">
        <f t="shared" si="14"/>
        <v/>
      </c>
      <c r="U24" s="147"/>
      <c r="V24" s="107" t="str">
        <f t="shared" si="5"/>
        <v/>
      </c>
      <c r="W24" s="107" t="str">
        <f t="shared" si="6"/>
        <v/>
      </c>
    </row>
    <row r="25" ht="18.0" customHeight="1">
      <c r="A25" s="93"/>
      <c r="B25" s="123" t="str">
        <f t="shared" si="7"/>
        <v/>
      </c>
      <c r="C25" s="110" t="str">
        <f t="shared" si="8"/>
        <v/>
      </c>
      <c r="D25" s="110" t="str">
        <f t="shared" si="9"/>
        <v/>
      </c>
      <c r="E25" s="124" t="str">
        <f t="shared" si="1"/>
        <v/>
      </c>
      <c r="F25" s="110" t="str">
        <f t="shared" si="2"/>
        <v/>
      </c>
      <c r="G25" s="137"/>
      <c r="H25" s="116" t="str">
        <f t="shared" si="3"/>
        <v/>
      </c>
      <c r="I25" s="126" t="str">
        <f t="shared" si="4"/>
        <v/>
      </c>
      <c r="J25" s="127" t="str">
        <f>if(B25&lt;&gt;"",J24*(1-Diretrizes!C$5),)</f>
        <v/>
      </c>
      <c r="K25" s="116"/>
      <c r="L25" s="129"/>
      <c r="M25" s="150"/>
      <c r="N25" s="118"/>
      <c r="O25" s="148" t="s">
        <v>47</v>
      </c>
      <c r="P25" s="149" t="s">
        <v>56</v>
      </c>
      <c r="Q25" s="147"/>
      <c r="R25" s="93"/>
      <c r="S25" s="93"/>
      <c r="T25" s="147"/>
      <c r="U25" s="147"/>
      <c r="V25" s="107" t="str">
        <f t="shared" si="5"/>
        <v/>
      </c>
      <c r="W25" s="107" t="str">
        <f t="shared" si="6"/>
        <v/>
      </c>
    </row>
    <row r="26" ht="18.0" customHeight="1">
      <c r="A26" s="93"/>
      <c r="B26" s="123" t="str">
        <f t="shared" si="7"/>
        <v/>
      </c>
      <c r="C26" s="110" t="str">
        <f t="shared" si="8"/>
        <v/>
      </c>
      <c r="D26" s="110" t="str">
        <f t="shared" si="9"/>
        <v/>
      </c>
      <c r="E26" s="124" t="str">
        <f t="shared" si="1"/>
        <v/>
      </c>
      <c r="F26" s="110" t="str">
        <f t="shared" si="2"/>
        <v/>
      </c>
      <c r="G26" s="137"/>
      <c r="H26" s="116" t="str">
        <f t="shared" si="3"/>
        <v/>
      </c>
      <c r="I26" s="126" t="str">
        <f t="shared" si="4"/>
        <v/>
      </c>
      <c r="J26" s="127" t="str">
        <f>if(B26&lt;&gt;"",J25*(1-Diretrizes!C$5),)</f>
        <v/>
      </c>
      <c r="K26" s="116"/>
      <c r="L26" s="129"/>
      <c r="M26" s="150"/>
      <c r="N26" s="118"/>
      <c r="O26" s="148" t="s">
        <v>47</v>
      </c>
      <c r="P26" s="152" t="s">
        <v>24</v>
      </c>
      <c r="Q26" s="153" t="s">
        <v>26</v>
      </c>
      <c r="R26" s="153" t="s">
        <v>55</v>
      </c>
      <c r="S26" s="153" t="s">
        <v>27</v>
      </c>
      <c r="T26" s="154" t="s">
        <v>28</v>
      </c>
      <c r="U26" s="147"/>
      <c r="V26" s="107" t="str">
        <f t="shared" si="5"/>
        <v/>
      </c>
      <c r="W26" s="107" t="str">
        <f t="shared" si="6"/>
        <v/>
      </c>
    </row>
    <row r="27" ht="18.0" customHeight="1">
      <c r="A27" s="93"/>
      <c r="B27" s="123" t="str">
        <f t="shared" si="7"/>
        <v/>
      </c>
      <c r="C27" s="110" t="str">
        <f t="shared" si="8"/>
        <v/>
      </c>
      <c r="D27" s="110" t="str">
        <f t="shared" si="9"/>
        <v/>
      </c>
      <c r="E27" s="124" t="str">
        <f t="shared" si="1"/>
        <v/>
      </c>
      <c r="F27" s="110" t="str">
        <f t="shared" si="2"/>
        <v/>
      </c>
      <c r="G27" s="137"/>
      <c r="H27" s="116" t="str">
        <f t="shared" si="3"/>
        <v/>
      </c>
      <c r="I27" s="126" t="str">
        <f t="shared" si="4"/>
        <v/>
      </c>
      <c r="J27" s="127" t="str">
        <f>if(B27&lt;&gt;"",J26*(1-Diretrizes!C$5),)</f>
        <v/>
      </c>
      <c r="K27" s="116"/>
      <c r="L27" s="129"/>
      <c r="M27" s="150"/>
      <c r="N27" s="118"/>
      <c r="O27" s="148" t="s">
        <v>47</v>
      </c>
      <c r="P27" s="155" t="str">
        <f t="array" ref="P27">sort(unique(N3:N112))</f>
        <v/>
      </c>
      <c r="Q27" s="156" t="str">
        <f t="shared" ref="Q27:Q36" si="15">if(P27="","", sumif(N$3:N112,P27,G$3:G112))</f>
        <v/>
      </c>
      <c r="R27" s="157" t="str">
        <f t="shared" ref="R27:R36" si="16">if(P27="","", countif(N$3:N112,P27))</f>
        <v/>
      </c>
      <c r="S27" s="158" t="str">
        <f t="shared" ref="S27:S36" si="17">if(P27="","", averageif(N$3:N112,P27,H$3:H112))</f>
        <v/>
      </c>
      <c r="T27" s="158" t="str">
        <f t="shared" ref="T27:T37" si="18">IF(P27="","",Q27/SUM($G$3:$G112))</f>
        <v/>
      </c>
      <c r="U27" s="147"/>
      <c r="V27" s="107" t="str">
        <f t="shared" si="5"/>
        <v/>
      </c>
      <c r="W27" s="107" t="str">
        <f t="shared" si="6"/>
        <v/>
      </c>
    </row>
    <row r="28" ht="18.0" customHeight="1">
      <c r="A28" s="93"/>
      <c r="B28" s="123" t="str">
        <f t="shared" si="7"/>
        <v/>
      </c>
      <c r="C28" s="110" t="str">
        <f t="shared" si="8"/>
        <v/>
      </c>
      <c r="D28" s="110" t="str">
        <f t="shared" si="9"/>
        <v/>
      </c>
      <c r="E28" s="124" t="str">
        <f t="shared" si="1"/>
        <v/>
      </c>
      <c r="F28" s="110" t="str">
        <f t="shared" si="2"/>
        <v/>
      </c>
      <c r="G28" s="137"/>
      <c r="H28" s="116" t="str">
        <f t="shared" si="3"/>
        <v/>
      </c>
      <c r="I28" s="126" t="str">
        <f t="shared" si="4"/>
        <v/>
      </c>
      <c r="J28" s="127" t="str">
        <f>if(B28&lt;&gt;"",J27*(1-Diretrizes!C$5),)</f>
        <v/>
      </c>
      <c r="K28" s="116"/>
      <c r="L28" s="129"/>
      <c r="M28" s="150"/>
      <c r="N28" s="118"/>
      <c r="O28" s="148" t="s">
        <v>47</v>
      </c>
      <c r="P28" s="155"/>
      <c r="Q28" s="156" t="str">
        <f t="shared" si="15"/>
        <v/>
      </c>
      <c r="R28" s="157" t="str">
        <f t="shared" si="16"/>
        <v/>
      </c>
      <c r="S28" s="158" t="str">
        <f t="shared" si="17"/>
        <v/>
      </c>
      <c r="T28" s="158" t="str">
        <f t="shared" si="18"/>
        <v/>
      </c>
      <c r="U28" s="147"/>
      <c r="V28" s="107" t="str">
        <f t="shared" si="5"/>
        <v/>
      </c>
      <c r="W28" s="107" t="str">
        <f t="shared" si="6"/>
        <v/>
      </c>
    </row>
    <row r="29" ht="18.0" customHeight="1">
      <c r="A29" s="93"/>
      <c r="B29" s="123" t="str">
        <f t="shared" si="7"/>
        <v/>
      </c>
      <c r="C29" s="110" t="str">
        <f t="shared" si="8"/>
        <v/>
      </c>
      <c r="D29" s="110" t="str">
        <f t="shared" si="9"/>
        <v/>
      </c>
      <c r="E29" s="124" t="str">
        <f t="shared" si="1"/>
        <v/>
      </c>
      <c r="F29" s="110" t="str">
        <f t="shared" si="2"/>
        <v/>
      </c>
      <c r="G29" s="137"/>
      <c r="H29" s="116" t="str">
        <f t="shared" si="3"/>
        <v/>
      </c>
      <c r="I29" s="126" t="str">
        <f t="shared" si="4"/>
        <v/>
      </c>
      <c r="J29" s="127" t="str">
        <f>if(B29&lt;&gt;"",J28*(1-Diretrizes!C$5),)</f>
        <v/>
      </c>
      <c r="K29" s="116"/>
      <c r="L29" s="129"/>
      <c r="M29" s="150"/>
      <c r="N29" s="118"/>
      <c r="O29" s="148" t="s">
        <v>47</v>
      </c>
      <c r="P29" s="155"/>
      <c r="Q29" s="156" t="str">
        <f t="shared" si="15"/>
        <v/>
      </c>
      <c r="R29" s="157" t="str">
        <f t="shared" si="16"/>
        <v/>
      </c>
      <c r="S29" s="158" t="str">
        <f t="shared" si="17"/>
        <v/>
      </c>
      <c r="T29" s="158" t="str">
        <f t="shared" si="18"/>
        <v/>
      </c>
      <c r="U29" s="147"/>
      <c r="V29" s="107" t="str">
        <f t="shared" si="5"/>
        <v/>
      </c>
      <c r="W29" s="107" t="str">
        <f t="shared" si="6"/>
        <v/>
      </c>
    </row>
    <row r="30" ht="18.0" customHeight="1">
      <c r="A30" s="93"/>
      <c r="B30" s="123" t="str">
        <f t="shared" si="7"/>
        <v/>
      </c>
      <c r="C30" s="110" t="str">
        <f t="shared" si="8"/>
        <v/>
      </c>
      <c r="D30" s="110" t="str">
        <f t="shared" si="9"/>
        <v/>
      </c>
      <c r="E30" s="124" t="str">
        <f t="shared" si="1"/>
        <v/>
      </c>
      <c r="F30" s="110" t="str">
        <f t="shared" si="2"/>
        <v/>
      </c>
      <c r="G30" s="137"/>
      <c r="H30" s="116" t="str">
        <f t="shared" si="3"/>
        <v/>
      </c>
      <c r="I30" s="126" t="str">
        <f t="shared" si="4"/>
        <v/>
      </c>
      <c r="J30" s="127" t="str">
        <f>if(B30&lt;&gt;"",J29*(1-Diretrizes!C$5),)</f>
        <v/>
      </c>
      <c r="K30" s="116"/>
      <c r="L30" s="129"/>
      <c r="M30" s="150"/>
      <c r="N30" s="118"/>
      <c r="O30" s="148" t="s">
        <v>47</v>
      </c>
      <c r="P30" s="155"/>
      <c r="Q30" s="156" t="str">
        <f t="shared" si="15"/>
        <v/>
      </c>
      <c r="R30" s="157" t="str">
        <f t="shared" si="16"/>
        <v/>
      </c>
      <c r="S30" s="158" t="str">
        <f t="shared" si="17"/>
        <v/>
      </c>
      <c r="T30" s="158" t="str">
        <f t="shared" si="18"/>
        <v/>
      </c>
      <c r="U30" s="147"/>
      <c r="V30" s="107" t="str">
        <f t="shared" si="5"/>
        <v/>
      </c>
      <c r="W30" s="107" t="str">
        <f t="shared" si="6"/>
        <v/>
      </c>
    </row>
    <row r="31" ht="18.0" customHeight="1">
      <c r="A31" s="93"/>
      <c r="B31" s="123" t="str">
        <f t="shared" si="7"/>
        <v/>
      </c>
      <c r="C31" s="110" t="str">
        <f t="shared" si="8"/>
        <v/>
      </c>
      <c r="D31" s="110" t="str">
        <f t="shared" si="9"/>
        <v/>
      </c>
      <c r="E31" s="124" t="str">
        <f t="shared" si="1"/>
        <v/>
      </c>
      <c r="F31" s="110" t="str">
        <f t="shared" si="2"/>
        <v/>
      </c>
      <c r="G31" s="137"/>
      <c r="H31" s="116" t="str">
        <f t="shared" si="3"/>
        <v/>
      </c>
      <c r="I31" s="126" t="str">
        <f t="shared" si="4"/>
        <v/>
      </c>
      <c r="J31" s="127" t="str">
        <f>if(B31&lt;&gt;"",J30*(1-Diretrizes!C$5),)</f>
        <v/>
      </c>
      <c r="K31" s="116"/>
      <c r="L31" s="129"/>
      <c r="M31" s="150"/>
      <c r="N31" s="118"/>
      <c r="O31" s="148" t="s">
        <v>47</v>
      </c>
      <c r="P31" s="155"/>
      <c r="Q31" s="156" t="str">
        <f t="shared" si="15"/>
        <v/>
      </c>
      <c r="R31" s="157" t="str">
        <f t="shared" si="16"/>
        <v/>
      </c>
      <c r="S31" s="158" t="str">
        <f t="shared" si="17"/>
        <v/>
      </c>
      <c r="T31" s="158" t="str">
        <f t="shared" si="18"/>
        <v/>
      </c>
      <c r="U31" s="147"/>
      <c r="V31" s="107" t="str">
        <f t="shared" si="5"/>
        <v/>
      </c>
      <c r="W31" s="107" t="str">
        <f t="shared" si="6"/>
        <v/>
      </c>
    </row>
    <row r="32" ht="18.0" customHeight="1">
      <c r="A32" s="93"/>
      <c r="B32" s="123" t="str">
        <f t="shared" si="7"/>
        <v/>
      </c>
      <c r="C32" s="110" t="str">
        <f t="shared" si="8"/>
        <v/>
      </c>
      <c r="D32" s="110" t="str">
        <f t="shared" si="9"/>
        <v/>
      </c>
      <c r="E32" s="124" t="str">
        <f t="shared" si="1"/>
        <v/>
      </c>
      <c r="F32" s="110" t="str">
        <f t="shared" si="2"/>
        <v/>
      </c>
      <c r="G32" s="137"/>
      <c r="H32" s="116" t="str">
        <f t="shared" si="3"/>
        <v/>
      </c>
      <c r="I32" s="126" t="str">
        <f t="shared" si="4"/>
        <v/>
      </c>
      <c r="J32" s="127" t="str">
        <f>if(B32&lt;&gt;"",J31*(1-Diretrizes!C$5),)</f>
        <v/>
      </c>
      <c r="K32" s="116"/>
      <c r="L32" s="129"/>
      <c r="M32" s="150"/>
      <c r="N32" s="118"/>
      <c r="O32" s="148" t="s">
        <v>47</v>
      </c>
      <c r="P32" s="155"/>
      <c r="Q32" s="156" t="str">
        <f t="shared" si="15"/>
        <v/>
      </c>
      <c r="R32" s="157" t="str">
        <f t="shared" si="16"/>
        <v/>
      </c>
      <c r="S32" s="158" t="str">
        <f t="shared" si="17"/>
        <v/>
      </c>
      <c r="T32" s="158" t="str">
        <f t="shared" si="18"/>
        <v/>
      </c>
      <c r="U32" s="147"/>
      <c r="V32" s="107" t="str">
        <f t="shared" si="5"/>
        <v/>
      </c>
      <c r="W32" s="107" t="str">
        <f t="shared" si="6"/>
        <v/>
      </c>
    </row>
    <row r="33" ht="18.0" customHeight="1">
      <c r="A33" s="93"/>
      <c r="B33" s="123"/>
      <c r="C33" s="110" t="str">
        <f t="shared" si="8"/>
        <v/>
      </c>
      <c r="D33" s="110"/>
      <c r="E33" s="124"/>
      <c r="F33" s="110" t="str">
        <f t="shared" si="2"/>
        <v/>
      </c>
      <c r="G33" s="137"/>
      <c r="H33" s="116"/>
      <c r="I33" s="126"/>
      <c r="J33" s="127"/>
      <c r="K33" s="116"/>
      <c r="L33" s="129"/>
      <c r="M33" s="162"/>
      <c r="N33" s="163"/>
      <c r="O33" s="148" t="s">
        <v>47</v>
      </c>
      <c r="P33" s="155"/>
      <c r="Q33" s="156" t="str">
        <f t="shared" si="15"/>
        <v/>
      </c>
      <c r="R33" s="157" t="str">
        <f t="shared" si="16"/>
        <v/>
      </c>
      <c r="S33" s="158" t="str">
        <f t="shared" si="17"/>
        <v/>
      </c>
      <c r="T33" s="158" t="str">
        <f t="shared" si="18"/>
        <v/>
      </c>
      <c r="U33" s="147"/>
      <c r="V33" s="107" t="str">
        <f t="shared" si="5"/>
        <v/>
      </c>
      <c r="W33" s="107" t="str">
        <f t="shared" si="6"/>
        <v/>
      </c>
    </row>
    <row r="34" ht="18.75" customHeight="1">
      <c r="A34" s="93"/>
      <c r="B34" s="123"/>
      <c r="C34" s="110"/>
      <c r="D34" s="110"/>
      <c r="E34" s="124"/>
      <c r="F34" s="110"/>
      <c r="G34" s="137"/>
      <c r="H34" s="116"/>
      <c r="I34" s="126"/>
      <c r="J34" s="127"/>
      <c r="K34" s="116"/>
      <c r="L34" s="129"/>
      <c r="M34" s="162"/>
      <c r="N34" s="163"/>
      <c r="O34" s="148" t="s">
        <v>47</v>
      </c>
      <c r="P34" s="155"/>
      <c r="Q34" s="156" t="str">
        <f t="shared" si="15"/>
        <v/>
      </c>
      <c r="R34" s="157" t="str">
        <f t="shared" si="16"/>
        <v/>
      </c>
      <c r="S34" s="158" t="str">
        <f t="shared" si="17"/>
        <v/>
      </c>
      <c r="T34" s="158" t="str">
        <f t="shared" si="18"/>
        <v/>
      </c>
      <c r="U34" s="147"/>
      <c r="V34" s="107" t="str">
        <f t="shared" si="5"/>
        <v/>
      </c>
      <c r="W34" s="107" t="str">
        <f t="shared" si="6"/>
        <v/>
      </c>
    </row>
    <row r="35" ht="18.75" customHeight="1">
      <c r="A35" s="93"/>
      <c r="B35" s="123"/>
      <c r="C35" s="110"/>
      <c r="D35" s="110"/>
      <c r="E35" s="124"/>
      <c r="F35" s="110"/>
      <c r="G35" s="137"/>
      <c r="H35" s="116"/>
      <c r="I35" s="126"/>
      <c r="J35" s="127"/>
      <c r="K35" s="116"/>
      <c r="L35" s="129"/>
      <c r="M35" s="162"/>
      <c r="N35" s="163"/>
      <c r="O35" s="148" t="s">
        <v>47</v>
      </c>
      <c r="P35" s="155"/>
      <c r="Q35" s="156" t="str">
        <f t="shared" si="15"/>
        <v/>
      </c>
      <c r="R35" s="157" t="str">
        <f t="shared" si="16"/>
        <v/>
      </c>
      <c r="S35" s="158" t="str">
        <f t="shared" si="17"/>
        <v/>
      </c>
      <c r="T35" s="158" t="str">
        <f t="shared" si="18"/>
        <v/>
      </c>
      <c r="U35" s="147"/>
      <c r="V35" s="107" t="str">
        <f t="shared" si="5"/>
        <v/>
      </c>
      <c r="W35" s="107" t="str">
        <f t="shared" si="6"/>
        <v/>
      </c>
    </row>
    <row r="36" ht="18.75" customHeight="1">
      <c r="A36" s="93"/>
      <c r="B36" s="123"/>
      <c r="C36" s="110"/>
      <c r="D36" s="110"/>
      <c r="E36" s="124"/>
      <c r="F36" s="110"/>
      <c r="G36" s="137"/>
      <c r="H36" s="116"/>
      <c r="I36" s="126"/>
      <c r="J36" s="127"/>
      <c r="K36" s="116"/>
      <c r="L36" s="129"/>
      <c r="M36" s="162"/>
      <c r="N36" s="163"/>
      <c r="O36" s="148" t="s">
        <v>47</v>
      </c>
      <c r="P36" s="155"/>
      <c r="Q36" s="156" t="str">
        <f t="shared" si="15"/>
        <v/>
      </c>
      <c r="R36" s="157" t="str">
        <f t="shared" si="16"/>
        <v/>
      </c>
      <c r="S36" s="158" t="str">
        <f t="shared" si="17"/>
        <v/>
      </c>
      <c r="T36" s="158" t="str">
        <f t="shared" si="18"/>
        <v/>
      </c>
      <c r="U36" s="147"/>
      <c r="V36" s="107" t="str">
        <f t="shared" si="5"/>
        <v/>
      </c>
      <c r="W36" s="107" t="str">
        <f t="shared" si="6"/>
        <v/>
      </c>
    </row>
    <row r="37" ht="18.75" customHeight="1">
      <c r="A37" s="93"/>
      <c r="B37" s="123"/>
      <c r="C37" s="110"/>
      <c r="D37" s="110"/>
      <c r="E37" s="124"/>
      <c r="F37" s="110"/>
      <c r="G37" s="137"/>
      <c r="H37" s="116"/>
      <c r="I37" s="126"/>
      <c r="J37" s="127"/>
      <c r="K37" s="116"/>
      <c r="L37" s="129"/>
      <c r="M37" s="162"/>
      <c r="N37" s="163"/>
      <c r="O37" s="148" t="s">
        <v>47</v>
      </c>
      <c r="P37" s="161"/>
      <c r="Q37" s="161"/>
      <c r="R37" s="161"/>
      <c r="S37" s="161"/>
      <c r="T37" s="161" t="str">
        <f t="shared" si="18"/>
        <v/>
      </c>
      <c r="U37" s="147"/>
      <c r="V37" s="107" t="str">
        <f t="shared" si="5"/>
        <v/>
      </c>
      <c r="W37" s="107" t="str">
        <f t="shared" si="6"/>
        <v/>
      </c>
    </row>
    <row r="38" ht="18.75" customHeight="1">
      <c r="A38" s="93"/>
      <c r="B38" s="123"/>
      <c r="C38" s="110"/>
      <c r="D38" s="110"/>
      <c r="E38" s="124"/>
      <c r="F38" s="110"/>
      <c r="G38" s="137"/>
      <c r="H38" s="116"/>
      <c r="I38" s="126"/>
      <c r="J38" s="127"/>
      <c r="K38" s="116"/>
      <c r="L38" s="129"/>
      <c r="M38" s="162"/>
      <c r="N38" s="163"/>
      <c r="O38" s="148" t="s">
        <v>47</v>
      </c>
      <c r="P38" s="149" t="s">
        <v>57</v>
      </c>
      <c r="Q38" s="147"/>
      <c r="R38" s="93"/>
      <c r="S38" s="93"/>
      <c r="T38" s="147"/>
      <c r="U38" s="147"/>
      <c r="V38" s="107" t="str">
        <f t="shared" si="5"/>
        <v/>
      </c>
      <c r="W38" s="107" t="str">
        <f t="shared" si="6"/>
        <v/>
      </c>
    </row>
    <row r="39" ht="18.75" customHeight="1">
      <c r="A39" s="93"/>
      <c r="B39" s="123"/>
      <c r="C39" s="110"/>
      <c r="D39" s="110"/>
      <c r="E39" s="124"/>
      <c r="F39" s="110"/>
      <c r="G39" s="137"/>
      <c r="H39" s="116"/>
      <c r="I39" s="126"/>
      <c r="J39" s="127"/>
      <c r="K39" s="116"/>
      <c r="L39" s="129"/>
      <c r="M39" s="162"/>
      <c r="N39" s="163"/>
      <c r="O39" s="148" t="s">
        <v>47</v>
      </c>
      <c r="P39" s="152" t="s">
        <v>58</v>
      </c>
      <c r="Q39" s="153" t="s">
        <v>26</v>
      </c>
      <c r="R39" s="153" t="s">
        <v>55</v>
      </c>
      <c r="S39" s="153" t="s">
        <v>27</v>
      </c>
      <c r="T39" s="154" t="s">
        <v>28</v>
      </c>
      <c r="U39" s="147"/>
      <c r="V39" s="107" t="str">
        <f t="shared" si="5"/>
        <v/>
      </c>
      <c r="W39" s="107" t="str">
        <f t="shared" si="6"/>
        <v/>
      </c>
    </row>
    <row r="40" ht="18.75" customHeight="1">
      <c r="A40" s="93"/>
      <c r="B40" s="123"/>
      <c r="C40" s="110"/>
      <c r="D40" s="110"/>
      <c r="E40" s="124"/>
      <c r="F40" s="110"/>
      <c r="G40" s="137"/>
      <c r="H40" s="116"/>
      <c r="I40" s="126"/>
      <c r="J40" s="127"/>
      <c r="K40" s="116"/>
      <c r="L40" s="129"/>
      <c r="M40" s="162"/>
      <c r="N40" s="163"/>
      <c r="O40" s="148" t="s">
        <v>47</v>
      </c>
      <c r="P40" s="164" t="str">
        <f t="array" ref="P40:P41">sort(UNIQUE({V3:V112;W3:W112}))</f>
        <v/>
      </c>
      <c r="Q40" s="156"/>
      <c r="R40" s="157"/>
      <c r="S40" s="158"/>
      <c r="T40" s="158"/>
      <c r="U40" s="147"/>
      <c r="V40" s="107" t="str">
        <f t="shared" si="5"/>
        <v/>
      </c>
      <c r="W40" s="107" t="str">
        <f t="shared" si="6"/>
        <v/>
      </c>
    </row>
    <row r="41" ht="18.75" customHeight="1">
      <c r="A41" s="93"/>
      <c r="B41" s="123"/>
      <c r="C41" s="110"/>
      <c r="D41" s="110"/>
      <c r="E41" s="124"/>
      <c r="F41" s="110"/>
      <c r="G41" s="137"/>
      <c r="H41" s="116"/>
      <c r="I41" s="126"/>
      <c r="J41" s="127"/>
      <c r="K41" s="116"/>
      <c r="L41" s="129"/>
      <c r="M41" s="162"/>
      <c r="N41" s="163"/>
      <c r="O41" s="148" t="s">
        <v>47</v>
      </c>
      <c r="P41" s="164"/>
      <c r="Q41" s="156" t="str">
        <f t="shared" ref="Q41:Q58" si="19">if(P41="","", sumif(V$3:V112,P41,G$3:G112)+sumif(W$3:W112,P41,G$3:G112))</f>
        <v/>
      </c>
      <c r="R41" s="157" t="str">
        <f t="shared" ref="R41:R112" si="20">if(P41="","", countif(V$3:W112,P41))</f>
        <v/>
      </c>
      <c r="S41" s="158" t="str">
        <f t="shared" ref="S41:S112" si="21">if(P41="","", iferror(averageif(V$3:V112,P41,H$3:H112),0)+iferror(averageif(W$3:W112,P41,H$3:H112),0))</f>
        <v/>
      </c>
      <c r="T41" s="158" t="str">
        <f t="shared" ref="T41:T112" si="22">if(P41="","",Q41/sum($G$3:$G112))</f>
        <v/>
      </c>
      <c r="U41" s="147"/>
      <c r="V41" s="107" t="str">
        <f t="shared" si="5"/>
        <v/>
      </c>
      <c r="W41" s="107" t="str">
        <f t="shared" si="6"/>
        <v/>
      </c>
    </row>
    <row r="42" ht="18.75" customHeight="1">
      <c r="A42" s="93"/>
      <c r="B42" s="123"/>
      <c r="C42" s="110"/>
      <c r="D42" s="110"/>
      <c r="E42" s="124"/>
      <c r="F42" s="110"/>
      <c r="G42" s="137"/>
      <c r="H42" s="116"/>
      <c r="I42" s="126"/>
      <c r="J42" s="127"/>
      <c r="K42" s="116"/>
      <c r="L42" s="129"/>
      <c r="M42" s="162"/>
      <c r="N42" s="163"/>
      <c r="O42" s="145" t="s">
        <v>47</v>
      </c>
      <c r="P42" s="155"/>
      <c r="Q42" s="156" t="str">
        <f t="shared" si="19"/>
        <v/>
      </c>
      <c r="R42" s="157" t="str">
        <f t="shared" si="20"/>
        <v/>
      </c>
      <c r="S42" s="158" t="str">
        <f t="shared" si="21"/>
        <v/>
      </c>
      <c r="T42" s="158" t="str">
        <f t="shared" si="22"/>
        <v/>
      </c>
      <c r="U42" s="93"/>
      <c r="V42" s="107" t="str">
        <f t="shared" si="5"/>
        <v/>
      </c>
      <c r="W42" s="107" t="str">
        <f t="shared" si="6"/>
        <v/>
      </c>
    </row>
    <row r="43" ht="18.75" customHeight="1">
      <c r="A43" s="93"/>
      <c r="B43" s="123"/>
      <c r="C43" s="110"/>
      <c r="D43" s="110"/>
      <c r="E43" s="124"/>
      <c r="F43" s="110"/>
      <c r="G43" s="137"/>
      <c r="H43" s="116"/>
      <c r="I43" s="126"/>
      <c r="J43" s="127"/>
      <c r="K43" s="116"/>
      <c r="L43" s="129"/>
      <c r="M43" s="162"/>
      <c r="N43" s="163"/>
      <c r="O43" s="145" t="s">
        <v>47</v>
      </c>
      <c r="P43" s="155"/>
      <c r="Q43" s="156" t="str">
        <f t="shared" si="19"/>
        <v/>
      </c>
      <c r="R43" s="157" t="str">
        <f t="shared" si="20"/>
        <v/>
      </c>
      <c r="S43" s="158" t="str">
        <f t="shared" si="21"/>
        <v/>
      </c>
      <c r="T43" s="158" t="str">
        <f t="shared" si="22"/>
        <v/>
      </c>
      <c r="U43" s="93"/>
      <c r="V43" s="107" t="str">
        <f t="shared" si="5"/>
        <v/>
      </c>
      <c r="W43" s="107" t="str">
        <f t="shared" si="6"/>
        <v/>
      </c>
    </row>
    <row r="44" ht="18.75" customHeight="1">
      <c r="A44" s="93"/>
      <c r="B44" s="123"/>
      <c r="C44" s="110"/>
      <c r="D44" s="110"/>
      <c r="E44" s="124"/>
      <c r="F44" s="110"/>
      <c r="G44" s="137"/>
      <c r="H44" s="116"/>
      <c r="I44" s="126"/>
      <c r="J44" s="127"/>
      <c r="K44" s="116"/>
      <c r="L44" s="129"/>
      <c r="M44" s="162"/>
      <c r="N44" s="163"/>
      <c r="O44" s="145" t="s">
        <v>47</v>
      </c>
      <c r="P44" s="155"/>
      <c r="Q44" s="156" t="str">
        <f t="shared" si="19"/>
        <v/>
      </c>
      <c r="R44" s="157" t="str">
        <f t="shared" si="20"/>
        <v/>
      </c>
      <c r="S44" s="158" t="str">
        <f t="shared" si="21"/>
        <v/>
      </c>
      <c r="T44" s="158" t="str">
        <f t="shared" si="22"/>
        <v/>
      </c>
      <c r="U44" s="93"/>
      <c r="V44" s="107" t="str">
        <f t="shared" si="5"/>
        <v/>
      </c>
      <c r="W44" s="107" t="str">
        <f t="shared" si="6"/>
        <v/>
      </c>
    </row>
    <row r="45" ht="18.75" customHeight="1">
      <c r="A45" s="93"/>
      <c r="B45" s="123"/>
      <c r="C45" s="110"/>
      <c r="D45" s="110"/>
      <c r="E45" s="124"/>
      <c r="F45" s="110"/>
      <c r="G45" s="137"/>
      <c r="H45" s="116"/>
      <c r="I45" s="126"/>
      <c r="J45" s="127"/>
      <c r="K45" s="116"/>
      <c r="L45" s="129"/>
      <c r="M45" s="162"/>
      <c r="N45" s="165"/>
      <c r="O45" s="93"/>
      <c r="P45" s="155"/>
      <c r="Q45" s="156" t="str">
        <f t="shared" si="19"/>
        <v/>
      </c>
      <c r="R45" s="157" t="str">
        <f t="shared" si="20"/>
        <v/>
      </c>
      <c r="S45" s="158" t="str">
        <f t="shared" si="21"/>
        <v/>
      </c>
      <c r="T45" s="158" t="str">
        <f t="shared" si="22"/>
        <v/>
      </c>
      <c r="U45" s="93"/>
      <c r="V45" s="107" t="str">
        <f t="shared" si="5"/>
        <v/>
      </c>
      <c r="W45" s="107" t="str">
        <f t="shared" si="6"/>
        <v/>
      </c>
    </row>
    <row r="46" ht="18.75" customHeight="1">
      <c r="A46" s="93"/>
      <c r="B46" s="123"/>
      <c r="C46" s="110"/>
      <c r="D46" s="110"/>
      <c r="E46" s="124"/>
      <c r="F46" s="110"/>
      <c r="G46" s="137"/>
      <c r="H46" s="116"/>
      <c r="I46" s="126"/>
      <c r="J46" s="127"/>
      <c r="K46" s="116"/>
      <c r="L46" s="129"/>
      <c r="M46" s="162"/>
      <c r="N46" s="165"/>
      <c r="O46" s="93"/>
      <c r="P46" s="155"/>
      <c r="Q46" s="156" t="str">
        <f t="shared" si="19"/>
        <v/>
      </c>
      <c r="R46" s="157" t="str">
        <f t="shared" si="20"/>
        <v/>
      </c>
      <c r="S46" s="158" t="str">
        <f t="shared" si="21"/>
        <v/>
      </c>
      <c r="T46" s="158" t="str">
        <f t="shared" si="22"/>
        <v/>
      </c>
      <c r="U46" s="93"/>
      <c r="V46" s="107" t="str">
        <f t="shared" si="5"/>
        <v/>
      </c>
      <c r="W46" s="107" t="str">
        <f t="shared" si="6"/>
        <v/>
      </c>
    </row>
    <row r="47" ht="18.75" customHeight="1">
      <c r="A47" s="93"/>
      <c r="B47" s="123"/>
      <c r="C47" s="110"/>
      <c r="D47" s="110"/>
      <c r="E47" s="124"/>
      <c r="F47" s="110"/>
      <c r="G47" s="137"/>
      <c r="H47" s="116"/>
      <c r="I47" s="126"/>
      <c r="J47" s="127"/>
      <c r="K47" s="116"/>
      <c r="L47" s="129"/>
      <c r="M47" s="162"/>
      <c r="N47" s="165"/>
      <c r="O47" s="93"/>
      <c r="P47" s="155"/>
      <c r="Q47" s="156" t="str">
        <f t="shared" si="19"/>
        <v/>
      </c>
      <c r="R47" s="157" t="str">
        <f t="shared" si="20"/>
        <v/>
      </c>
      <c r="S47" s="158" t="str">
        <f t="shared" si="21"/>
        <v/>
      </c>
      <c r="T47" s="158" t="str">
        <f t="shared" si="22"/>
        <v/>
      </c>
      <c r="U47" s="93"/>
      <c r="V47" s="107" t="str">
        <f t="shared" si="5"/>
        <v/>
      </c>
      <c r="W47" s="107" t="str">
        <f t="shared" si="6"/>
        <v/>
      </c>
    </row>
    <row r="48" ht="18.75" customHeight="1">
      <c r="A48" s="93"/>
      <c r="B48" s="123"/>
      <c r="C48" s="110"/>
      <c r="D48" s="110"/>
      <c r="E48" s="124"/>
      <c r="F48" s="110"/>
      <c r="G48" s="137"/>
      <c r="H48" s="116"/>
      <c r="I48" s="126"/>
      <c r="J48" s="127"/>
      <c r="K48" s="116"/>
      <c r="L48" s="129"/>
      <c r="M48" s="162"/>
      <c r="N48" s="165"/>
      <c r="O48" s="93"/>
      <c r="P48" s="155"/>
      <c r="Q48" s="156" t="str">
        <f t="shared" si="19"/>
        <v/>
      </c>
      <c r="R48" s="157" t="str">
        <f t="shared" si="20"/>
        <v/>
      </c>
      <c r="S48" s="158" t="str">
        <f t="shared" si="21"/>
        <v/>
      </c>
      <c r="T48" s="158" t="str">
        <f t="shared" si="22"/>
        <v/>
      </c>
      <c r="U48" s="93"/>
      <c r="V48" s="107" t="str">
        <f t="shared" si="5"/>
        <v/>
      </c>
      <c r="W48" s="107" t="str">
        <f t="shared" si="6"/>
        <v/>
      </c>
    </row>
    <row r="49" ht="18.75" customHeight="1">
      <c r="A49" s="93"/>
      <c r="B49" s="123"/>
      <c r="C49" s="110"/>
      <c r="D49" s="110"/>
      <c r="E49" s="124"/>
      <c r="F49" s="110"/>
      <c r="G49" s="137"/>
      <c r="H49" s="116"/>
      <c r="I49" s="126"/>
      <c r="J49" s="127"/>
      <c r="K49" s="116"/>
      <c r="L49" s="129"/>
      <c r="M49" s="162"/>
      <c r="N49" s="165"/>
      <c r="O49" s="93"/>
      <c r="P49" s="155"/>
      <c r="Q49" s="156" t="str">
        <f t="shared" si="19"/>
        <v/>
      </c>
      <c r="R49" s="157" t="str">
        <f t="shared" si="20"/>
        <v/>
      </c>
      <c r="S49" s="158" t="str">
        <f t="shared" si="21"/>
        <v/>
      </c>
      <c r="T49" s="158" t="str">
        <f t="shared" si="22"/>
        <v/>
      </c>
      <c r="U49" s="93"/>
      <c r="V49" s="107" t="str">
        <f t="shared" si="5"/>
        <v/>
      </c>
      <c r="W49" s="107" t="str">
        <f t="shared" si="6"/>
        <v/>
      </c>
    </row>
    <row r="50" ht="18.75" customHeight="1">
      <c r="A50" s="93"/>
      <c r="B50" s="123"/>
      <c r="C50" s="110"/>
      <c r="D50" s="110"/>
      <c r="E50" s="124"/>
      <c r="F50" s="110"/>
      <c r="G50" s="137"/>
      <c r="H50" s="116"/>
      <c r="I50" s="126"/>
      <c r="J50" s="127"/>
      <c r="K50" s="116"/>
      <c r="L50" s="129"/>
      <c r="M50" s="162"/>
      <c r="N50" s="165"/>
      <c r="O50" s="93"/>
      <c r="P50" s="155"/>
      <c r="Q50" s="156" t="str">
        <f t="shared" si="19"/>
        <v/>
      </c>
      <c r="R50" s="157" t="str">
        <f t="shared" si="20"/>
        <v/>
      </c>
      <c r="S50" s="158" t="str">
        <f t="shared" si="21"/>
        <v/>
      </c>
      <c r="T50" s="158" t="str">
        <f t="shared" si="22"/>
        <v/>
      </c>
      <c r="U50" s="93"/>
      <c r="V50" s="107" t="str">
        <f t="shared" si="5"/>
        <v/>
      </c>
      <c r="W50" s="107" t="str">
        <f t="shared" si="6"/>
        <v/>
      </c>
    </row>
    <row r="51" ht="18.75" customHeight="1">
      <c r="A51" s="93"/>
      <c r="B51" s="123"/>
      <c r="C51" s="110"/>
      <c r="D51" s="110"/>
      <c r="E51" s="124"/>
      <c r="F51" s="110"/>
      <c r="G51" s="137"/>
      <c r="H51" s="116"/>
      <c r="I51" s="126"/>
      <c r="J51" s="127"/>
      <c r="K51" s="116"/>
      <c r="L51" s="129"/>
      <c r="M51" s="162"/>
      <c r="N51" s="165"/>
      <c r="O51" s="93"/>
      <c r="P51" s="155"/>
      <c r="Q51" s="156" t="str">
        <f t="shared" si="19"/>
        <v/>
      </c>
      <c r="R51" s="157" t="str">
        <f t="shared" si="20"/>
        <v/>
      </c>
      <c r="S51" s="158" t="str">
        <f t="shared" si="21"/>
        <v/>
      </c>
      <c r="T51" s="158" t="str">
        <f t="shared" si="22"/>
        <v/>
      </c>
      <c r="U51" s="93"/>
      <c r="V51" s="107" t="str">
        <f t="shared" si="5"/>
        <v/>
      </c>
      <c r="W51" s="107" t="str">
        <f t="shared" si="6"/>
        <v/>
      </c>
    </row>
    <row r="52" ht="18.75" customHeight="1">
      <c r="A52" s="93"/>
      <c r="B52" s="123"/>
      <c r="C52" s="110"/>
      <c r="D52" s="110"/>
      <c r="E52" s="124"/>
      <c r="F52" s="110"/>
      <c r="G52" s="137"/>
      <c r="H52" s="116"/>
      <c r="I52" s="126"/>
      <c r="J52" s="127"/>
      <c r="K52" s="116"/>
      <c r="L52" s="129"/>
      <c r="M52" s="162"/>
      <c r="N52" s="165"/>
      <c r="O52" s="93"/>
      <c r="P52" s="155"/>
      <c r="Q52" s="156" t="str">
        <f t="shared" si="19"/>
        <v/>
      </c>
      <c r="R52" s="157" t="str">
        <f t="shared" si="20"/>
        <v/>
      </c>
      <c r="S52" s="158" t="str">
        <f t="shared" si="21"/>
        <v/>
      </c>
      <c r="T52" s="158" t="str">
        <f t="shared" si="22"/>
        <v/>
      </c>
      <c r="U52" s="93"/>
      <c r="V52" s="107" t="str">
        <f t="shared" si="5"/>
        <v/>
      </c>
      <c r="W52" s="107" t="str">
        <f t="shared" si="6"/>
        <v/>
      </c>
    </row>
    <row r="53" ht="18.75" customHeight="1">
      <c r="A53" s="93"/>
      <c r="B53" s="123"/>
      <c r="C53" s="110"/>
      <c r="D53" s="110"/>
      <c r="E53" s="124"/>
      <c r="F53" s="110"/>
      <c r="G53" s="137"/>
      <c r="H53" s="116"/>
      <c r="I53" s="126"/>
      <c r="J53" s="127"/>
      <c r="K53" s="116"/>
      <c r="L53" s="129"/>
      <c r="M53" s="162"/>
      <c r="N53" s="165"/>
      <c r="O53" s="93"/>
      <c r="P53" s="155"/>
      <c r="Q53" s="156" t="str">
        <f t="shared" si="19"/>
        <v/>
      </c>
      <c r="R53" s="157" t="str">
        <f t="shared" si="20"/>
        <v/>
      </c>
      <c r="S53" s="158" t="str">
        <f t="shared" si="21"/>
        <v/>
      </c>
      <c r="T53" s="158" t="str">
        <f t="shared" si="22"/>
        <v/>
      </c>
      <c r="U53" s="93"/>
      <c r="V53" s="107" t="str">
        <f t="shared" si="5"/>
        <v/>
      </c>
      <c r="W53" s="107" t="str">
        <f t="shared" si="6"/>
        <v/>
      </c>
    </row>
    <row r="54" ht="18.75" customHeight="1">
      <c r="A54" s="93"/>
      <c r="B54" s="123"/>
      <c r="C54" s="110"/>
      <c r="D54" s="110"/>
      <c r="E54" s="124"/>
      <c r="F54" s="110"/>
      <c r="G54" s="137"/>
      <c r="H54" s="116"/>
      <c r="I54" s="126"/>
      <c r="J54" s="127"/>
      <c r="K54" s="116"/>
      <c r="L54" s="129"/>
      <c r="M54" s="162"/>
      <c r="N54" s="165"/>
      <c r="O54" s="93"/>
      <c r="P54" s="155"/>
      <c r="Q54" s="156" t="str">
        <f t="shared" si="19"/>
        <v/>
      </c>
      <c r="R54" s="157" t="str">
        <f t="shared" si="20"/>
        <v/>
      </c>
      <c r="S54" s="158" t="str">
        <f t="shared" si="21"/>
        <v/>
      </c>
      <c r="T54" s="158" t="str">
        <f t="shared" si="22"/>
        <v/>
      </c>
      <c r="U54" s="93"/>
      <c r="V54" s="107" t="str">
        <f t="shared" si="5"/>
        <v/>
      </c>
      <c r="W54" s="107" t="str">
        <f t="shared" si="6"/>
        <v/>
      </c>
    </row>
    <row r="55" ht="18.75" customHeight="1">
      <c r="A55" s="93"/>
      <c r="B55" s="123"/>
      <c r="C55" s="110"/>
      <c r="D55" s="110"/>
      <c r="E55" s="124"/>
      <c r="F55" s="110"/>
      <c r="G55" s="137"/>
      <c r="H55" s="116"/>
      <c r="I55" s="126"/>
      <c r="J55" s="127"/>
      <c r="K55" s="116"/>
      <c r="L55" s="129"/>
      <c r="M55" s="162"/>
      <c r="N55" s="165"/>
      <c r="O55" s="93"/>
      <c r="P55" s="155"/>
      <c r="Q55" s="156" t="str">
        <f t="shared" si="19"/>
        <v/>
      </c>
      <c r="R55" s="157" t="str">
        <f t="shared" si="20"/>
        <v/>
      </c>
      <c r="S55" s="158" t="str">
        <f t="shared" si="21"/>
        <v/>
      </c>
      <c r="T55" s="158" t="str">
        <f t="shared" si="22"/>
        <v/>
      </c>
      <c r="U55" s="93"/>
      <c r="V55" s="107" t="str">
        <f t="shared" si="5"/>
        <v/>
      </c>
      <c r="W55" s="107" t="str">
        <f t="shared" si="6"/>
        <v/>
      </c>
    </row>
    <row r="56" ht="18.75" customHeight="1">
      <c r="A56" s="93"/>
      <c r="B56" s="93"/>
      <c r="C56" s="166"/>
      <c r="D56" s="166"/>
      <c r="E56" s="167"/>
      <c r="F56" s="166"/>
      <c r="G56" s="168"/>
      <c r="H56" s="169"/>
      <c r="I56" s="170"/>
      <c r="J56" s="171"/>
      <c r="K56" s="169"/>
      <c r="L56" s="172"/>
      <c r="M56" s="173"/>
      <c r="N56" s="174"/>
      <c r="O56" s="93"/>
      <c r="P56" s="155"/>
      <c r="Q56" s="156" t="str">
        <f t="shared" si="19"/>
        <v/>
      </c>
      <c r="R56" s="157" t="str">
        <f t="shared" si="20"/>
        <v/>
      </c>
      <c r="S56" s="158" t="str">
        <f t="shared" si="21"/>
        <v/>
      </c>
      <c r="T56" s="158" t="str">
        <f t="shared" si="22"/>
        <v/>
      </c>
      <c r="U56" s="93"/>
      <c r="V56" s="107" t="str">
        <f t="shared" si="5"/>
        <v/>
      </c>
      <c r="W56" s="107" t="str">
        <f t="shared" si="6"/>
        <v/>
      </c>
    </row>
    <row r="57" ht="18.75" customHeight="1">
      <c r="A57" s="93"/>
      <c r="B57" s="93"/>
      <c r="C57" s="166"/>
      <c r="D57" s="166"/>
      <c r="E57" s="167"/>
      <c r="F57" s="166"/>
      <c r="G57" s="168"/>
      <c r="H57" s="169"/>
      <c r="I57" s="170"/>
      <c r="J57" s="171"/>
      <c r="K57" s="169"/>
      <c r="L57" s="175"/>
      <c r="M57" s="176"/>
      <c r="N57" s="174"/>
      <c r="O57" s="93"/>
      <c r="P57" s="155"/>
      <c r="Q57" s="156" t="str">
        <f t="shared" si="19"/>
        <v/>
      </c>
      <c r="R57" s="157" t="str">
        <f t="shared" si="20"/>
        <v/>
      </c>
      <c r="S57" s="158" t="str">
        <f t="shared" si="21"/>
        <v/>
      </c>
      <c r="T57" s="158" t="str">
        <f t="shared" si="22"/>
        <v/>
      </c>
      <c r="U57" s="93"/>
      <c r="V57" s="107" t="str">
        <f t="shared" si="5"/>
        <v/>
      </c>
      <c r="W57" s="107" t="str">
        <f t="shared" si="6"/>
        <v/>
      </c>
    </row>
    <row r="58" ht="18.75" customHeight="1">
      <c r="A58" s="93"/>
      <c r="B58" s="93"/>
      <c r="C58" s="166"/>
      <c r="D58" s="166"/>
      <c r="E58" s="166"/>
      <c r="F58" s="166"/>
      <c r="G58" s="177"/>
      <c r="H58" s="178"/>
      <c r="I58" s="170"/>
      <c r="J58" s="169"/>
      <c r="K58" s="169"/>
      <c r="L58" s="179"/>
      <c r="M58" s="180"/>
      <c r="N58" s="181"/>
      <c r="O58" s="93"/>
      <c r="P58" s="155"/>
      <c r="Q58" s="156" t="str">
        <f t="shared" si="19"/>
        <v/>
      </c>
      <c r="R58" s="157" t="str">
        <f t="shared" si="20"/>
        <v/>
      </c>
      <c r="S58" s="158" t="str">
        <f t="shared" si="21"/>
        <v/>
      </c>
      <c r="T58" s="158" t="str">
        <f t="shared" si="22"/>
        <v/>
      </c>
      <c r="U58" s="93"/>
      <c r="V58" s="107" t="str">
        <f t="shared" si="5"/>
        <v/>
      </c>
      <c r="W58" s="107" t="str">
        <f t="shared" si="6"/>
        <v/>
      </c>
    </row>
    <row r="59" ht="18.75" customHeight="1">
      <c r="A59" s="93"/>
      <c r="B59" s="93"/>
      <c r="C59" s="166"/>
      <c r="D59" s="166"/>
      <c r="E59" s="166"/>
      <c r="F59" s="166"/>
      <c r="G59" s="177"/>
      <c r="H59" s="182"/>
      <c r="I59" s="170"/>
      <c r="J59" s="169"/>
      <c r="K59" s="169"/>
      <c r="L59" s="183"/>
      <c r="M59" s="180"/>
      <c r="N59" s="181"/>
      <c r="O59" s="93"/>
      <c r="P59" s="93"/>
      <c r="Q59" s="93" t="str">
        <f t="shared" ref="Q59:Q112" si="23">if(P59="","", sumif(V$3:W112,P59,G$3:G112))</f>
        <v/>
      </c>
      <c r="R59" s="93" t="str">
        <f t="shared" si="20"/>
        <v/>
      </c>
      <c r="S59" s="93" t="str">
        <f t="shared" si="21"/>
        <v/>
      </c>
      <c r="T59" s="93" t="str">
        <f t="shared" si="22"/>
        <v/>
      </c>
      <c r="U59" s="93"/>
      <c r="V59" s="107" t="str">
        <f t="shared" si="5"/>
        <v/>
      </c>
      <c r="W59" s="107" t="str">
        <f t="shared" si="6"/>
        <v/>
      </c>
    </row>
    <row r="60" ht="18.75" customHeight="1">
      <c r="A60" s="93"/>
      <c r="B60" s="93"/>
      <c r="C60" s="166"/>
      <c r="D60" s="166"/>
      <c r="E60" s="166"/>
      <c r="F60" s="166"/>
      <c r="G60" s="177"/>
      <c r="H60" s="182"/>
      <c r="I60" s="170"/>
      <c r="J60" s="169"/>
      <c r="K60" s="169"/>
      <c r="L60" s="183"/>
      <c r="M60" s="180"/>
      <c r="N60" s="181"/>
      <c r="O60" s="93"/>
      <c r="P60" s="93"/>
      <c r="Q60" s="93" t="str">
        <f t="shared" si="23"/>
        <v/>
      </c>
      <c r="R60" s="93" t="str">
        <f t="shared" si="20"/>
        <v/>
      </c>
      <c r="S60" s="93" t="str">
        <f t="shared" si="21"/>
        <v/>
      </c>
      <c r="T60" s="93" t="str">
        <f t="shared" si="22"/>
        <v/>
      </c>
      <c r="U60" s="93"/>
      <c r="V60" s="107" t="str">
        <f t="shared" si="5"/>
        <v/>
      </c>
      <c r="W60" s="107" t="str">
        <f t="shared" si="6"/>
        <v/>
      </c>
    </row>
    <row r="61" ht="18.75" customHeight="1">
      <c r="A61" s="93"/>
      <c r="B61" s="93"/>
      <c r="C61" s="166"/>
      <c r="D61" s="166"/>
      <c r="E61" s="166"/>
      <c r="F61" s="166"/>
      <c r="G61" s="177"/>
      <c r="H61" s="182"/>
      <c r="I61" s="170"/>
      <c r="J61" s="169"/>
      <c r="K61" s="169"/>
      <c r="L61" s="183"/>
      <c r="M61" s="180"/>
      <c r="N61" s="181"/>
      <c r="O61" s="93"/>
      <c r="P61" s="93"/>
      <c r="Q61" s="93" t="str">
        <f t="shared" si="23"/>
        <v/>
      </c>
      <c r="R61" s="93" t="str">
        <f t="shared" si="20"/>
        <v/>
      </c>
      <c r="S61" s="93" t="str">
        <f t="shared" si="21"/>
        <v/>
      </c>
      <c r="T61" s="93" t="str">
        <f t="shared" si="22"/>
        <v/>
      </c>
      <c r="U61" s="93"/>
      <c r="V61" s="107" t="str">
        <f t="shared" si="5"/>
        <v/>
      </c>
      <c r="W61" s="107" t="str">
        <f t="shared" si="6"/>
        <v/>
      </c>
    </row>
    <row r="62" ht="18.75" customHeight="1">
      <c r="A62" s="93"/>
      <c r="B62" s="93"/>
      <c r="C62" s="166"/>
      <c r="D62" s="166"/>
      <c r="E62" s="166"/>
      <c r="F62" s="166"/>
      <c r="G62" s="177"/>
      <c r="H62" s="182"/>
      <c r="I62" s="170"/>
      <c r="J62" s="169"/>
      <c r="K62" s="169"/>
      <c r="L62" s="183"/>
      <c r="M62" s="180"/>
      <c r="N62" s="181"/>
      <c r="O62" s="93"/>
      <c r="P62" s="93"/>
      <c r="Q62" s="93" t="str">
        <f t="shared" si="23"/>
        <v/>
      </c>
      <c r="R62" s="93" t="str">
        <f t="shared" si="20"/>
        <v/>
      </c>
      <c r="S62" s="93" t="str">
        <f t="shared" si="21"/>
        <v/>
      </c>
      <c r="T62" s="93" t="str">
        <f t="shared" si="22"/>
        <v/>
      </c>
      <c r="U62" s="93"/>
      <c r="V62" s="107" t="str">
        <f t="shared" si="5"/>
        <v/>
      </c>
      <c r="W62" s="107" t="str">
        <f t="shared" si="6"/>
        <v/>
      </c>
    </row>
    <row r="63" ht="18.75" customHeight="1">
      <c r="A63" s="93"/>
      <c r="B63" s="93"/>
      <c r="C63" s="166"/>
      <c r="D63" s="166"/>
      <c r="E63" s="166"/>
      <c r="F63" s="166"/>
      <c r="G63" s="177"/>
      <c r="H63" s="182"/>
      <c r="I63" s="170"/>
      <c r="J63" s="169"/>
      <c r="K63" s="169"/>
      <c r="L63" s="183"/>
      <c r="M63" s="180"/>
      <c r="N63" s="181"/>
      <c r="O63" s="93"/>
      <c r="P63" s="93"/>
      <c r="Q63" s="93" t="str">
        <f t="shared" si="23"/>
        <v/>
      </c>
      <c r="R63" s="93" t="str">
        <f t="shared" si="20"/>
        <v/>
      </c>
      <c r="S63" s="93" t="str">
        <f t="shared" si="21"/>
        <v/>
      </c>
      <c r="T63" s="93" t="str">
        <f t="shared" si="22"/>
        <v/>
      </c>
      <c r="U63" s="93"/>
      <c r="V63" s="107" t="str">
        <f t="shared" si="5"/>
        <v/>
      </c>
      <c r="W63" s="107" t="str">
        <f t="shared" si="6"/>
        <v/>
      </c>
    </row>
    <row r="64" ht="18.75" customHeight="1">
      <c r="A64" s="93"/>
      <c r="B64" s="93"/>
      <c r="C64" s="166"/>
      <c r="D64" s="166"/>
      <c r="E64" s="166"/>
      <c r="F64" s="166"/>
      <c r="G64" s="177"/>
      <c r="H64" s="182"/>
      <c r="I64" s="170"/>
      <c r="J64" s="169"/>
      <c r="K64" s="169"/>
      <c r="L64" s="183"/>
      <c r="M64" s="180"/>
      <c r="N64" s="181"/>
      <c r="O64" s="93"/>
      <c r="P64" s="93"/>
      <c r="Q64" s="93" t="str">
        <f t="shared" si="23"/>
        <v/>
      </c>
      <c r="R64" s="93" t="str">
        <f t="shared" si="20"/>
        <v/>
      </c>
      <c r="S64" s="93" t="str">
        <f t="shared" si="21"/>
        <v/>
      </c>
      <c r="T64" s="93" t="str">
        <f t="shared" si="22"/>
        <v/>
      </c>
      <c r="U64" s="93"/>
      <c r="V64" s="107" t="str">
        <f t="shared" si="5"/>
        <v/>
      </c>
      <c r="W64" s="107" t="str">
        <f t="shared" si="6"/>
        <v/>
      </c>
    </row>
    <row r="65" ht="18.75" customHeight="1">
      <c r="A65" s="93"/>
      <c r="B65" s="93"/>
      <c r="C65" s="166"/>
      <c r="D65" s="166"/>
      <c r="E65" s="166"/>
      <c r="F65" s="166"/>
      <c r="G65" s="177"/>
      <c r="H65" s="182"/>
      <c r="I65" s="170"/>
      <c r="J65" s="169"/>
      <c r="K65" s="169"/>
      <c r="L65" s="183"/>
      <c r="M65" s="180"/>
      <c r="N65" s="181"/>
      <c r="O65" s="93"/>
      <c r="P65" s="93"/>
      <c r="Q65" s="93" t="str">
        <f t="shared" si="23"/>
        <v/>
      </c>
      <c r="R65" s="93" t="str">
        <f t="shared" si="20"/>
        <v/>
      </c>
      <c r="S65" s="93" t="str">
        <f t="shared" si="21"/>
        <v/>
      </c>
      <c r="T65" s="93" t="str">
        <f t="shared" si="22"/>
        <v/>
      </c>
      <c r="U65" s="93"/>
      <c r="V65" s="107" t="str">
        <f t="shared" si="5"/>
        <v/>
      </c>
      <c r="W65" s="107" t="str">
        <f t="shared" si="6"/>
        <v/>
      </c>
    </row>
    <row r="66" ht="18.75" customHeight="1">
      <c r="A66" s="93"/>
      <c r="B66" s="93"/>
      <c r="C66" s="166"/>
      <c r="D66" s="166"/>
      <c r="E66" s="166"/>
      <c r="F66" s="166"/>
      <c r="G66" s="177"/>
      <c r="H66" s="182"/>
      <c r="I66" s="170"/>
      <c r="J66" s="169"/>
      <c r="K66" s="169"/>
      <c r="L66" s="183"/>
      <c r="M66" s="180"/>
      <c r="N66" s="181"/>
      <c r="O66" s="93"/>
      <c r="P66" s="93"/>
      <c r="Q66" s="93" t="str">
        <f t="shared" si="23"/>
        <v/>
      </c>
      <c r="R66" s="93" t="str">
        <f t="shared" si="20"/>
        <v/>
      </c>
      <c r="S66" s="93" t="str">
        <f t="shared" si="21"/>
        <v/>
      </c>
      <c r="T66" s="93" t="str">
        <f t="shared" si="22"/>
        <v/>
      </c>
      <c r="U66" s="93"/>
      <c r="V66" s="107" t="str">
        <f t="shared" si="5"/>
        <v/>
      </c>
      <c r="W66" s="107" t="str">
        <f t="shared" si="6"/>
        <v/>
      </c>
    </row>
    <row r="67" ht="18.75" customHeight="1">
      <c r="A67" s="93"/>
      <c r="B67" s="93"/>
      <c r="C67" s="166"/>
      <c r="D67" s="166"/>
      <c r="E67" s="166"/>
      <c r="F67" s="166"/>
      <c r="G67" s="177"/>
      <c r="H67" s="182"/>
      <c r="I67" s="170"/>
      <c r="J67" s="169"/>
      <c r="K67" s="169"/>
      <c r="L67" s="183"/>
      <c r="M67" s="180"/>
      <c r="N67" s="181"/>
      <c r="O67" s="93"/>
      <c r="P67" s="93"/>
      <c r="Q67" s="93" t="str">
        <f t="shared" si="23"/>
        <v/>
      </c>
      <c r="R67" s="93" t="str">
        <f t="shared" si="20"/>
        <v/>
      </c>
      <c r="S67" s="93" t="str">
        <f t="shared" si="21"/>
        <v/>
      </c>
      <c r="T67" s="93" t="str">
        <f t="shared" si="22"/>
        <v/>
      </c>
      <c r="U67" s="93"/>
      <c r="V67" s="107" t="str">
        <f t="shared" si="5"/>
        <v/>
      </c>
      <c r="W67" s="107" t="str">
        <f t="shared" si="6"/>
        <v/>
      </c>
    </row>
    <row r="68" ht="18.75" customHeight="1">
      <c r="A68" s="93"/>
      <c r="B68" s="93"/>
      <c r="C68" s="166"/>
      <c r="D68" s="166"/>
      <c r="E68" s="166"/>
      <c r="F68" s="166"/>
      <c r="G68" s="177"/>
      <c r="H68" s="182"/>
      <c r="I68" s="170"/>
      <c r="J68" s="169"/>
      <c r="K68" s="169"/>
      <c r="L68" s="183"/>
      <c r="M68" s="180"/>
      <c r="N68" s="181"/>
      <c r="O68" s="93"/>
      <c r="P68" s="93"/>
      <c r="Q68" s="93" t="str">
        <f t="shared" si="23"/>
        <v/>
      </c>
      <c r="R68" s="93" t="str">
        <f t="shared" si="20"/>
        <v/>
      </c>
      <c r="S68" s="93" t="str">
        <f t="shared" si="21"/>
        <v/>
      </c>
      <c r="T68" s="93" t="str">
        <f t="shared" si="22"/>
        <v/>
      </c>
      <c r="U68" s="93"/>
      <c r="V68" s="107" t="str">
        <f t="shared" si="5"/>
        <v/>
      </c>
      <c r="W68" s="107" t="str">
        <f t="shared" si="6"/>
        <v/>
      </c>
    </row>
    <row r="69" ht="18.75" customHeight="1">
      <c r="A69" s="93"/>
      <c r="B69" s="93"/>
      <c r="C69" s="166"/>
      <c r="D69" s="166"/>
      <c r="E69" s="166"/>
      <c r="F69" s="166"/>
      <c r="G69" s="177"/>
      <c r="H69" s="182"/>
      <c r="I69" s="170"/>
      <c r="J69" s="169"/>
      <c r="K69" s="169"/>
      <c r="L69" s="183"/>
      <c r="M69" s="180"/>
      <c r="N69" s="181"/>
      <c r="O69" s="93"/>
      <c r="P69" s="93"/>
      <c r="Q69" s="93" t="str">
        <f t="shared" si="23"/>
        <v/>
      </c>
      <c r="R69" s="93" t="str">
        <f t="shared" si="20"/>
        <v/>
      </c>
      <c r="S69" s="93" t="str">
        <f t="shared" si="21"/>
        <v/>
      </c>
      <c r="T69" s="93" t="str">
        <f t="shared" si="22"/>
        <v/>
      </c>
      <c r="U69" s="93"/>
      <c r="V69" s="107" t="str">
        <f t="shared" si="5"/>
        <v/>
      </c>
      <c r="W69" s="107" t="str">
        <f t="shared" si="6"/>
        <v/>
      </c>
    </row>
    <row r="70" ht="18.75" customHeight="1">
      <c r="A70" s="93"/>
      <c r="B70" s="93"/>
      <c r="C70" s="166"/>
      <c r="D70" s="166"/>
      <c r="E70" s="166"/>
      <c r="F70" s="166"/>
      <c r="G70" s="177"/>
      <c r="H70" s="182"/>
      <c r="I70" s="170"/>
      <c r="J70" s="169"/>
      <c r="K70" s="169"/>
      <c r="L70" s="183"/>
      <c r="M70" s="180"/>
      <c r="N70" s="181"/>
      <c r="O70" s="93"/>
      <c r="P70" s="93"/>
      <c r="Q70" s="93" t="str">
        <f t="shared" si="23"/>
        <v/>
      </c>
      <c r="R70" s="93" t="str">
        <f t="shared" si="20"/>
        <v/>
      </c>
      <c r="S70" s="93" t="str">
        <f t="shared" si="21"/>
        <v/>
      </c>
      <c r="T70" s="93" t="str">
        <f t="shared" si="22"/>
        <v/>
      </c>
      <c r="U70" s="93"/>
      <c r="V70" s="107" t="str">
        <f t="shared" si="5"/>
        <v/>
      </c>
      <c r="W70" s="107" t="str">
        <f t="shared" si="6"/>
        <v/>
      </c>
    </row>
    <row r="71" ht="18.75" customHeight="1">
      <c r="A71" s="93"/>
      <c r="B71" s="93"/>
      <c r="C71" s="166"/>
      <c r="D71" s="166"/>
      <c r="E71" s="166"/>
      <c r="F71" s="166"/>
      <c r="G71" s="177"/>
      <c r="H71" s="182"/>
      <c r="I71" s="170"/>
      <c r="J71" s="169"/>
      <c r="K71" s="169"/>
      <c r="L71" s="183"/>
      <c r="M71" s="180"/>
      <c r="N71" s="181"/>
      <c r="O71" s="93"/>
      <c r="P71" s="93"/>
      <c r="Q71" s="93" t="str">
        <f t="shared" si="23"/>
        <v/>
      </c>
      <c r="R71" s="93" t="str">
        <f t="shared" si="20"/>
        <v/>
      </c>
      <c r="S71" s="93" t="str">
        <f t="shared" si="21"/>
        <v/>
      </c>
      <c r="T71" s="93" t="str">
        <f t="shared" si="22"/>
        <v/>
      </c>
      <c r="U71" s="93"/>
      <c r="V71" s="107" t="str">
        <f t="shared" si="5"/>
        <v/>
      </c>
      <c r="W71" s="107" t="str">
        <f t="shared" si="6"/>
        <v/>
      </c>
    </row>
    <row r="72" ht="18.75" customHeight="1">
      <c r="A72" s="93"/>
      <c r="B72" s="93"/>
      <c r="C72" s="166"/>
      <c r="D72" s="166"/>
      <c r="E72" s="166"/>
      <c r="F72" s="166"/>
      <c r="G72" s="177"/>
      <c r="H72" s="182"/>
      <c r="I72" s="170"/>
      <c r="J72" s="169"/>
      <c r="K72" s="169"/>
      <c r="L72" s="183"/>
      <c r="M72" s="180"/>
      <c r="N72" s="181"/>
      <c r="O72" s="93"/>
      <c r="P72" s="93"/>
      <c r="Q72" s="93" t="str">
        <f t="shared" si="23"/>
        <v/>
      </c>
      <c r="R72" s="93" t="str">
        <f t="shared" si="20"/>
        <v/>
      </c>
      <c r="S72" s="93" t="str">
        <f t="shared" si="21"/>
        <v/>
      </c>
      <c r="T72" s="93" t="str">
        <f t="shared" si="22"/>
        <v/>
      </c>
      <c r="U72" s="93"/>
      <c r="V72" s="107" t="str">
        <f t="shared" si="5"/>
        <v/>
      </c>
      <c r="W72" s="107"/>
    </row>
    <row r="73" ht="18.75" customHeight="1">
      <c r="A73" s="93"/>
      <c r="B73" s="93"/>
      <c r="C73" s="166"/>
      <c r="D73" s="166"/>
      <c r="E73" s="166"/>
      <c r="F73" s="166"/>
      <c r="G73" s="177"/>
      <c r="H73" s="182"/>
      <c r="I73" s="170"/>
      <c r="J73" s="169"/>
      <c r="K73" s="169"/>
      <c r="L73" s="183"/>
      <c r="M73" s="180"/>
      <c r="N73" s="181"/>
      <c r="O73" s="93"/>
      <c r="P73" s="93"/>
      <c r="Q73" s="93" t="str">
        <f t="shared" si="23"/>
        <v/>
      </c>
      <c r="R73" s="93" t="str">
        <f t="shared" si="20"/>
        <v/>
      </c>
      <c r="S73" s="93" t="str">
        <f t="shared" si="21"/>
        <v/>
      </c>
      <c r="T73" s="93" t="str">
        <f t="shared" si="22"/>
        <v/>
      </c>
      <c r="U73" s="93"/>
      <c r="V73" s="107" t="str">
        <f t="shared" si="5"/>
        <v/>
      </c>
      <c r="W73" s="107"/>
    </row>
    <row r="74" ht="18.75" customHeight="1">
      <c r="A74" s="93"/>
      <c r="B74" s="93"/>
      <c r="C74" s="166"/>
      <c r="D74" s="166"/>
      <c r="E74" s="166"/>
      <c r="F74" s="166"/>
      <c r="G74" s="177"/>
      <c r="H74" s="182"/>
      <c r="I74" s="170"/>
      <c r="J74" s="169"/>
      <c r="K74" s="169"/>
      <c r="L74" s="183"/>
      <c r="M74" s="180"/>
      <c r="N74" s="181"/>
      <c r="O74" s="93"/>
      <c r="P74" s="93"/>
      <c r="Q74" s="93" t="str">
        <f t="shared" si="23"/>
        <v/>
      </c>
      <c r="R74" s="93" t="str">
        <f t="shared" si="20"/>
        <v/>
      </c>
      <c r="S74" s="93" t="str">
        <f t="shared" si="21"/>
        <v/>
      </c>
      <c r="T74" s="93" t="str">
        <f t="shared" si="22"/>
        <v/>
      </c>
      <c r="U74" s="93"/>
      <c r="V74" s="107" t="str">
        <f t="shared" si="5"/>
        <v/>
      </c>
      <c r="W74" s="107"/>
    </row>
    <row r="75" ht="18.75" customHeight="1">
      <c r="A75" s="93"/>
      <c r="B75" s="93"/>
      <c r="C75" s="166"/>
      <c r="D75" s="166"/>
      <c r="E75" s="166"/>
      <c r="F75" s="166"/>
      <c r="G75" s="177"/>
      <c r="H75" s="182"/>
      <c r="I75" s="170"/>
      <c r="J75" s="169"/>
      <c r="K75" s="169"/>
      <c r="L75" s="183"/>
      <c r="M75" s="180"/>
      <c r="N75" s="181"/>
      <c r="O75" s="93"/>
      <c r="P75" s="93"/>
      <c r="Q75" s="93" t="str">
        <f t="shared" si="23"/>
        <v/>
      </c>
      <c r="R75" s="93" t="str">
        <f t="shared" si="20"/>
        <v/>
      </c>
      <c r="S75" s="93" t="str">
        <f t="shared" si="21"/>
        <v/>
      </c>
      <c r="T75" s="93" t="str">
        <f t="shared" si="22"/>
        <v/>
      </c>
      <c r="U75" s="93"/>
      <c r="V75" s="107" t="str">
        <f t="shared" si="5"/>
        <v/>
      </c>
      <c r="W75" s="107"/>
    </row>
    <row r="76" ht="18.75" customHeight="1">
      <c r="A76" s="93"/>
      <c r="B76" s="93"/>
      <c r="C76" s="166"/>
      <c r="D76" s="166"/>
      <c r="E76" s="166"/>
      <c r="F76" s="166"/>
      <c r="G76" s="177"/>
      <c r="H76" s="182"/>
      <c r="I76" s="170"/>
      <c r="J76" s="169"/>
      <c r="K76" s="169"/>
      <c r="L76" s="183"/>
      <c r="M76" s="180"/>
      <c r="N76" s="181"/>
      <c r="O76" s="93"/>
      <c r="P76" s="93"/>
      <c r="Q76" s="93" t="str">
        <f t="shared" si="23"/>
        <v/>
      </c>
      <c r="R76" s="93" t="str">
        <f t="shared" si="20"/>
        <v/>
      </c>
      <c r="S76" s="93" t="str">
        <f t="shared" si="21"/>
        <v/>
      </c>
      <c r="T76" s="93" t="str">
        <f t="shared" si="22"/>
        <v/>
      </c>
      <c r="U76" s="93"/>
      <c r="V76" s="107" t="str">
        <f t="shared" si="5"/>
        <v/>
      </c>
      <c r="W76" s="107"/>
    </row>
    <row r="77" ht="18.75" customHeight="1">
      <c r="A77" s="93"/>
      <c r="B77" s="93"/>
      <c r="C77" s="166"/>
      <c r="D77" s="166"/>
      <c r="E77" s="166"/>
      <c r="F77" s="166"/>
      <c r="G77" s="177"/>
      <c r="H77" s="182"/>
      <c r="I77" s="170"/>
      <c r="J77" s="169"/>
      <c r="K77" s="169"/>
      <c r="L77" s="183"/>
      <c r="M77" s="180"/>
      <c r="N77" s="181"/>
      <c r="O77" s="93"/>
      <c r="P77" s="93"/>
      <c r="Q77" s="93" t="str">
        <f t="shared" si="23"/>
        <v/>
      </c>
      <c r="R77" s="93" t="str">
        <f t="shared" si="20"/>
        <v/>
      </c>
      <c r="S77" s="93" t="str">
        <f t="shared" si="21"/>
        <v/>
      </c>
      <c r="T77" s="93" t="str">
        <f t="shared" si="22"/>
        <v/>
      </c>
      <c r="U77" s="93"/>
      <c r="V77" s="107" t="str">
        <f t="shared" si="5"/>
        <v/>
      </c>
      <c r="W77" s="107"/>
    </row>
    <row r="78" ht="18.75" customHeight="1">
      <c r="A78" s="93"/>
      <c r="B78" s="93"/>
      <c r="C78" s="166"/>
      <c r="D78" s="166"/>
      <c r="E78" s="166"/>
      <c r="F78" s="166"/>
      <c r="G78" s="177"/>
      <c r="H78" s="182"/>
      <c r="I78" s="170"/>
      <c r="J78" s="169"/>
      <c r="K78" s="169"/>
      <c r="L78" s="183"/>
      <c r="M78" s="180"/>
      <c r="N78" s="181"/>
      <c r="O78" s="93"/>
      <c r="P78" s="93"/>
      <c r="Q78" s="93" t="str">
        <f t="shared" si="23"/>
        <v/>
      </c>
      <c r="R78" s="93" t="str">
        <f t="shared" si="20"/>
        <v/>
      </c>
      <c r="S78" s="93" t="str">
        <f t="shared" si="21"/>
        <v/>
      </c>
      <c r="T78" s="93" t="str">
        <f t="shared" si="22"/>
        <v/>
      </c>
      <c r="U78" s="93"/>
      <c r="V78" s="107" t="str">
        <f t="shared" si="5"/>
        <v/>
      </c>
      <c r="W78" s="107"/>
    </row>
    <row r="79" ht="18.75" customHeight="1">
      <c r="A79" s="93"/>
      <c r="B79" s="93"/>
      <c r="C79" s="166"/>
      <c r="D79" s="166"/>
      <c r="E79" s="166"/>
      <c r="F79" s="166"/>
      <c r="G79" s="177"/>
      <c r="H79" s="182"/>
      <c r="I79" s="170"/>
      <c r="J79" s="169"/>
      <c r="K79" s="169"/>
      <c r="L79" s="183"/>
      <c r="M79" s="180"/>
      <c r="N79" s="181"/>
      <c r="O79" s="93"/>
      <c r="P79" s="93"/>
      <c r="Q79" s="93" t="str">
        <f t="shared" si="23"/>
        <v/>
      </c>
      <c r="R79" s="93" t="str">
        <f t="shared" si="20"/>
        <v/>
      </c>
      <c r="S79" s="93" t="str">
        <f t="shared" si="21"/>
        <v/>
      </c>
      <c r="T79" s="93" t="str">
        <f t="shared" si="22"/>
        <v/>
      </c>
      <c r="U79" s="93"/>
      <c r="V79" s="107" t="str">
        <f t="shared" si="5"/>
        <v/>
      </c>
      <c r="W79" s="107"/>
    </row>
    <row r="80" ht="18.75" customHeight="1">
      <c r="A80" s="93"/>
      <c r="B80" s="93"/>
      <c r="C80" s="166"/>
      <c r="D80" s="166"/>
      <c r="E80" s="166"/>
      <c r="F80" s="166"/>
      <c r="G80" s="177"/>
      <c r="H80" s="182"/>
      <c r="I80" s="170"/>
      <c r="J80" s="169"/>
      <c r="K80" s="169"/>
      <c r="L80" s="183"/>
      <c r="M80" s="180"/>
      <c r="N80" s="181"/>
      <c r="O80" s="93"/>
      <c r="P80" s="93"/>
      <c r="Q80" s="93" t="str">
        <f t="shared" si="23"/>
        <v/>
      </c>
      <c r="R80" s="93" t="str">
        <f t="shared" si="20"/>
        <v/>
      </c>
      <c r="S80" s="93" t="str">
        <f t="shared" si="21"/>
        <v/>
      </c>
      <c r="T80" s="93" t="str">
        <f t="shared" si="22"/>
        <v/>
      </c>
      <c r="U80" s="93"/>
      <c r="V80" s="107" t="str">
        <f t="shared" si="5"/>
        <v/>
      </c>
      <c r="W80" s="107"/>
    </row>
    <row r="81" ht="18.75" customHeight="1">
      <c r="A81" s="93"/>
      <c r="B81" s="93"/>
      <c r="C81" s="166"/>
      <c r="D81" s="166"/>
      <c r="E81" s="166"/>
      <c r="F81" s="166"/>
      <c r="G81" s="177"/>
      <c r="H81" s="182"/>
      <c r="I81" s="170"/>
      <c r="J81" s="169"/>
      <c r="K81" s="169"/>
      <c r="L81" s="183"/>
      <c r="M81" s="180"/>
      <c r="N81" s="181"/>
      <c r="O81" s="93"/>
      <c r="P81" s="93"/>
      <c r="Q81" s="93" t="str">
        <f t="shared" si="23"/>
        <v/>
      </c>
      <c r="R81" s="93" t="str">
        <f t="shared" si="20"/>
        <v/>
      </c>
      <c r="S81" s="93" t="str">
        <f t="shared" si="21"/>
        <v/>
      </c>
      <c r="T81" s="93" t="str">
        <f t="shared" si="22"/>
        <v/>
      </c>
      <c r="U81" s="93"/>
      <c r="V81" s="107" t="str">
        <f t="shared" si="5"/>
        <v/>
      </c>
      <c r="W81" s="107"/>
    </row>
    <row r="82" ht="18.75" customHeight="1">
      <c r="A82" s="93"/>
      <c r="B82" s="93"/>
      <c r="C82" s="166"/>
      <c r="D82" s="166"/>
      <c r="E82" s="166"/>
      <c r="F82" s="166"/>
      <c r="G82" s="177"/>
      <c r="H82" s="182"/>
      <c r="I82" s="170"/>
      <c r="J82" s="169"/>
      <c r="K82" s="169"/>
      <c r="L82" s="183"/>
      <c r="M82" s="180"/>
      <c r="N82" s="181"/>
      <c r="O82" s="93"/>
      <c r="P82" s="93"/>
      <c r="Q82" s="93" t="str">
        <f t="shared" si="23"/>
        <v/>
      </c>
      <c r="R82" s="93" t="str">
        <f t="shared" si="20"/>
        <v/>
      </c>
      <c r="S82" s="93" t="str">
        <f t="shared" si="21"/>
        <v/>
      </c>
      <c r="T82" s="93" t="str">
        <f t="shared" si="22"/>
        <v/>
      </c>
      <c r="U82" s="93"/>
      <c r="V82" s="107" t="str">
        <f t="shared" si="5"/>
        <v/>
      </c>
      <c r="W82" s="107"/>
    </row>
    <row r="83" ht="18.75" customHeight="1">
      <c r="A83" s="93"/>
      <c r="B83" s="93"/>
      <c r="C83" s="166"/>
      <c r="D83" s="166"/>
      <c r="E83" s="166"/>
      <c r="F83" s="166"/>
      <c r="G83" s="177"/>
      <c r="H83" s="182"/>
      <c r="I83" s="170"/>
      <c r="J83" s="169"/>
      <c r="K83" s="169"/>
      <c r="L83" s="183"/>
      <c r="M83" s="180"/>
      <c r="N83" s="181"/>
      <c r="O83" s="93"/>
      <c r="P83" s="93"/>
      <c r="Q83" s="93" t="str">
        <f t="shared" si="23"/>
        <v/>
      </c>
      <c r="R83" s="93" t="str">
        <f t="shared" si="20"/>
        <v/>
      </c>
      <c r="S83" s="93" t="str">
        <f t="shared" si="21"/>
        <v/>
      </c>
      <c r="T83" s="93" t="str">
        <f t="shared" si="22"/>
        <v/>
      </c>
      <c r="U83" s="93"/>
      <c r="V83" s="107" t="str">
        <f t="shared" si="5"/>
        <v/>
      </c>
      <c r="W83" s="107"/>
    </row>
    <row r="84" ht="18.75" customHeight="1">
      <c r="A84" s="93"/>
      <c r="B84" s="93"/>
      <c r="C84" s="166"/>
      <c r="D84" s="166"/>
      <c r="E84" s="166"/>
      <c r="F84" s="166"/>
      <c r="G84" s="177"/>
      <c r="H84" s="182"/>
      <c r="I84" s="170"/>
      <c r="J84" s="169"/>
      <c r="K84" s="169"/>
      <c r="L84" s="183"/>
      <c r="M84" s="180"/>
      <c r="N84" s="181"/>
      <c r="O84" s="93"/>
      <c r="P84" s="93"/>
      <c r="Q84" s="93" t="str">
        <f t="shared" si="23"/>
        <v/>
      </c>
      <c r="R84" s="93" t="str">
        <f t="shared" si="20"/>
        <v/>
      </c>
      <c r="S84" s="93" t="str">
        <f t="shared" si="21"/>
        <v/>
      </c>
      <c r="T84" s="93" t="str">
        <f t="shared" si="22"/>
        <v/>
      </c>
      <c r="U84" s="93"/>
      <c r="V84" s="107" t="str">
        <f t="shared" si="5"/>
        <v/>
      </c>
      <c r="W84" s="107"/>
    </row>
    <row r="85" ht="18.75" customHeight="1">
      <c r="A85" s="93"/>
      <c r="B85" s="93"/>
      <c r="C85" s="166"/>
      <c r="D85" s="166"/>
      <c r="E85" s="166"/>
      <c r="F85" s="166"/>
      <c r="G85" s="177"/>
      <c r="H85" s="182"/>
      <c r="I85" s="170"/>
      <c r="J85" s="169"/>
      <c r="K85" s="169"/>
      <c r="L85" s="183"/>
      <c r="M85" s="180"/>
      <c r="N85" s="181"/>
      <c r="O85" s="93"/>
      <c r="P85" s="93"/>
      <c r="Q85" s="93" t="str">
        <f t="shared" si="23"/>
        <v/>
      </c>
      <c r="R85" s="93" t="str">
        <f t="shared" si="20"/>
        <v/>
      </c>
      <c r="S85" s="93" t="str">
        <f t="shared" si="21"/>
        <v/>
      </c>
      <c r="T85" s="93" t="str">
        <f t="shared" si="22"/>
        <v/>
      </c>
      <c r="U85" s="93"/>
      <c r="V85" s="107" t="str">
        <f t="shared" si="5"/>
        <v/>
      </c>
      <c r="W85" s="107"/>
    </row>
    <row r="86" ht="18.75" customHeight="1">
      <c r="A86" s="93"/>
      <c r="B86" s="93"/>
      <c r="C86" s="166"/>
      <c r="D86" s="166"/>
      <c r="E86" s="166"/>
      <c r="F86" s="166"/>
      <c r="G86" s="177"/>
      <c r="H86" s="182"/>
      <c r="I86" s="170"/>
      <c r="J86" s="169"/>
      <c r="K86" s="169"/>
      <c r="L86" s="183"/>
      <c r="M86" s="180"/>
      <c r="N86" s="181"/>
      <c r="O86" s="93"/>
      <c r="P86" s="93"/>
      <c r="Q86" s="93" t="str">
        <f t="shared" si="23"/>
        <v/>
      </c>
      <c r="R86" s="93" t="str">
        <f t="shared" si="20"/>
        <v/>
      </c>
      <c r="S86" s="93" t="str">
        <f t="shared" si="21"/>
        <v/>
      </c>
      <c r="T86" s="93" t="str">
        <f t="shared" si="22"/>
        <v/>
      </c>
      <c r="U86" s="93"/>
      <c r="V86" s="107" t="str">
        <f t="shared" si="5"/>
        <v/>
      </c>
      <c r="W86" s="107"/>
    </row>
    <row r="87" ht="18.75" customHeight="1">
      <c r="A87" s="93"/>
      <c r="B87" s="93"/>
      <c r="C87" s="166"/>
      <c r="D87" s="166"/>
      <c r="E87" s="166"/>
      <c r="F87" s="166"/>
      <c r="G87" s="177"/>
      <c r="H87" s="182"/>
      <c r="I87" s="170"/>
      <c r="J87" s="169"/>
      <c r="K87" s="169"/>
      <c r="L87" s="183"/>
      <c r="M87" s="180"/>
      <c r="N87" s="181"/>
      <c r="O87" s="93"/>
      <c r="P87" s="93"/>
      <c r="Q87" s="93" t="str">
        <f t="shared" si="23"/>
        <v/>
      </c>
      <c r="R87" s="93" t="str">
        <f t="shared" si="20"/>
        <v/>
      </c>
      <c r="S87" s="93" t="str">
        <f t="shared" si="21"/>
        <v/>
      </c>
      <c r="T87" s="93" t="str">
        <f t="shared" si="22"/>
        <v/>
      </c>
      <c r="U87" s="93"/>
      <c r="V87" s="107" t="str">
        <f t="shared" si="5"/>
        <v/>
      </c>
      <c r="W87" s="107"/>
    </row>
    <row r="88" ht="18.75" customHeight="1">
      <c r="A88" s="93"/>
      <c r="B88" s="93"/>
      <c r="C88" s="166"/>
      <c r="D88" s="166"/>
      <c r="E88" s="166"/>
      <c r="F88" s="166"/>
      <c r="G88" s="177"/>
      <c r="H88" s="182"/>
      <c r="I88" s="170"/>
      <c r="J88" s="169"/>
      <c r="K88" s="169"/>
      <c r="L88" s="183"/>
      <c r="M88" s="180"/>
      <c r="N88" s="181"/>
      <c r="O88" s="93"/>
      <c r="P88" s="93"/>
      <c r="Q88" s="93" t="str">
        <f t="shared" si="23"/>
        <v/>
      </c>
      <c r="R88" s="93" t="str">
        <f t="shared" si="20"/>
        <v/>
      </c>
      <c r="S88" s="93" t="str">
        <f t="shared" si="21"/>
        <v/>
      </c>
      <c r="T88" s="93" t="str">
        <f t="shared" si="22"/>
        <v/>
      </c>
      <c r="U88" s="93"/>
      <c r="V88" s="107" t="str">
        <f t="shared" si="5"/>
        <v/>
      </c>
      <c r="W88" s="107"/>
    </row>
    <row r="89" ht="18.75" customHeight="1">
      <c r="A89" s="93"/>
      <c r="B89" s="93"/>
      <c r="C89" s="166"/>
      <c r="D89" s="166"/>
      <c r="E89" s="166"/>
      <c r="F89" s="166"/>
      <c r="G89" s="177"/>
      <c r="H89" s="182"/>
      <c r="I89" s="170"/>
      <c r="J89" s="169"/>
      <c r="K89" s="169"/>
      <c r="L89" s="183"/>
      <c r="M89" s="180"/>
      <c r="N89" s="181"/>
      <c r="O89" s="93"/>
      <c r="P89" s="93"/>
      <c r="Q89" s="93" t="str">
        <f t="shared" si="23"/>
        <v/>
      </c>
      <c r="R89" s="93" t="str">
        <f t="shared" si="20"/>
        <v/>
      </c>
      <c r="S89" s="93" t="str">
        <f t="shared" si="21"/>
        <v/>
      </c>
      <c r="T89" s="93" t="str">
        <f t="shared" si="22"/>
        <v/>
      </c>
      <c r="U89" s="93"/>
      <c r="V89" s="107" t="str">
        <f t="shared" si="5"/>
        <v/>
      </c>
      <c r="W89" s="107"/>
    </row>
    <row r="90" ht="18.75" customHeight="1">
      <c r="A90" s="93"/>
      <c r="B90" s="93"/>
      <c r="C90" s="166"/>
      <c r="D90" s="166"/>
      <c r="E90" s="166"/>
      <c r="F90" s="166"/>
      <c r="G90" s="177"/>
      <c r="H90" s="182"/>
      <c r="I90" s="170"/>
      <c r="J90" s="169"/>
      <c r="K90" s="169"/>
      <c r="L90" s="183"/>
      <c r="M90" s="180"/>
      <c r="N90" s="181"/>
      <c r="O90" s="93"/>
      <c r="P90" s="93"/>
      <c r="Q90" s="93" t="str">
        <f t="shared" si="23"/>
        <v/>
      </c>
      <c r="R90" s="93" t="str">
        <f t="shared" si="20"/>
        <v/>
      </c>
      <c r="S90" s="93" t="str">
        <f t="shared" si="21"/>
        <v/>
      </c>
      <c r="T90" s="93" t="str">
        <f t="shared" si="22"/>
        <v/>
      </c>
      <c r="U90" s="93"/>
      <c r="V90" s="107" t="str">
        <f t="shared" si="5"/>
        <v/>
      </c>
      <c r="W90" s="107"/>
    </row>
    <row r="91" ht="18.75" customHeight="1">
      <c r="A91" s="93"/>
      <c r="B91" s="93"/>
      <c r="C91" s="166"/>
      <c r="D91" s="166"/>
      <c r="E91" s="166"/>
      <c r="F91" s="166"/>
      <c r="G91" s="177"/>
      <c r="H91" s="182"/>
      <c r="I91" s="170"/>
      <c r="J91" s="169"/>
      <c r="K91" s="169"/>
      <c r="L91" s="183"/>
      <c r="M91" s="180"/>
      <c r="N91" s="181"/>
      <c r="O91" s="93"/>
      <c r="P91" s="93"/>
      <c r="Q91" s="93" t="str">
        <f t="shared" si="23"/>
        <v/>
      </c>
      <c r="R91" s="93" t="str">
        <f t="shared" si="20"/>
        <v/>
      </c>
      <c r="S91" s="93" t="str">
        <f t="shared" si="21"/>
        <v/>
      </c>
      <c r="T91" s="93" t="str">
        <f t="shared" si="22"/>
        <v/>
      </c>
      <c r="U91" s="93"/>
      <c r="V91" s="107" t="str">
        <f t="shared" si="5"/>
        <v/>
      </c>
      <c r="W91" s="107"/>
    </row>
    <row r="92" ht="18.75" customHeight="1">
      <c r="A92" s="93"/>
      <c r="B92" s="93"/>
      <c r="C92" s="166"/>
      <c r="D92" s="166"/>
      <c r="E92" s="166"/>
      <c r="F92" s="166"/>
      <c r="G92" s="177"/>
      <c r="H92" s="182"/>
      <c r="I92" s="170"/>
      <c r="J92" s="169"/>
      <c r="K92" s="169"/>
      <c r="L92" s="183"/>
      <c r="M92" s="180"/>
      <c r="N92" s="181"/>
      <c r="O92" s="93"/>
      <c r="P92" s="93"/>
      <c r="Q92" s="93" t="str">
        <f t="shared" si="23"/>
        <v/>
      </c>
      <c r="R92" s="93" t="str">
        <f t="shared" si="20"/>
        <v/>
      </c>
      <c r="S92" s="93" t="str">
        <f t="shared" si="21"/>
        <v/>
      </c>
      <c r="T92" s="93" t="str">
        <f t="shared" si="22"/>
        <v/>
      </c>
      <c r="U92" s="93"/>
      <c r="V92" s="107" t="str">
        <f t="shared" si="5"/>
        <v/>
      </c>
      <c r="W92" s="107"/>
    </row>
    <row r="93" ht="18.75" customHeight="1">
      <c r="A93" s="93"/>
      <c r="B93" s="93"/>
      <c r="C93" s="166"/>
      <c r="D93" s="166"/>
      <c r="E93" s="166"/>
      <c r="F93" s="166"/>
      <c r="G93" s="177"/>
      <c r="H93" s="182"/>
      <c r="I93" s="170"/>
      <c r="J93" s="169"/>
      <c r="K93" s="169"/>
      <c r="L93" s="183"/>
      <c r="M93" s="180"/>
      <c r="N93" s="181"/>
      <c r="O93" s="93"/>
      <c r="P93" s="93"/>
      <c r="Q93" s="93" t="str">
        <f t="shared" si="23"/>
        <v/>
      </c>
      <c r="R93" s="93" t="str">
        <f t="shared" si="20"/>
        <v/>
      </c>
      <c r="S93" s="93" t="str">
        <f t="shared" si="21"/>
        <v/>
      </c>
      <c r="T93" s="93" t="str">
        <f t="shared" si="22"/>
        <v/>
      </c>
      <c r="U93" s="93"/>
      <c r="V93" s="107" t="str">
        <f t="shared" si="5"/>
        <v/>
      </c>
      <c r="W93" s="107"/>
    </row>
    <row r="94" ht="18.75" customHeight="1">
      <c r="A94" s="93"/>
      <c r="B94" s="93"/>
      <c r="C94" s="166"/>
      <c r="D94" s="166"/>
      <c r="E94" s="166"/>
      <c r="F94" s="166"/>
      <c r="G94" s="177"/>
      <c r="H94" s="182"/>
      <c r="I94" s="170"/>
      <c r="J94" s="169"/>
      <c r="K94" s="169"/>
      <c r="L94" s="183"/>
      <c r="M94" s="180"/>
      <c r="N94" s="181"/>
      <c r="O94" s="93"/>
      <c r="P94" s="93"/>
      <c r="Q94" s="93" t="str">
        <f t="shared" si="23"/>
        <v/>
      </c>
      <c r="R94" s="93" t="str">
        <f t="shared" si="20"/>
        <v/>
      </c>
      <c r="S94" s="93" t="str">
        <f t="shared" si="21"/>
        <v/>
      </c>
      <c r="T94" s="93" t="str">
        <f t="shared" si="22"/>
        <v/>
      </c>
      <c r="U94" s="93"/>
      <c r="V94" s="107" t="str">
        <f t="shared" si="5"/>
        <v/>
      </c>
      <c r="W94" s="107"/>
    </row>
    <row r="95" ht="18.75" customHeight="1">
      <c r="A95" s="93"/>
      <c r="B95" s="93"/>
      <c r="C95" s="166"/>
      <c r="D95" s="166"/>
      <c r="E95" s="166"/>
      <c r="F95" s="166"/>
      <c r="G95" s="177"/>
      <c r="H95" s="182"/>
      <c r="I95" s="170"/>
      <c r="J95" s="169"/>
      <c r="K95" s="169"/>
      <c r="L95" s="183"/>
      <c r="M95" s="180"/>
      <c r="N95" s="181"/>
      <c r="O95" s="93"/>
      <c r="P95" s="93"/>
      <c r="Q95" s="93" t="str">
        <f t="shared" si="23"/>
        <v/>
      </c>
      <c r="R95" s="93" t="str">
        <f t="shared" si="20"/>
        <v/>
      </c>
      <c r="S95" s="93" t="str">
        <f t="shared" si="21"/>
        <v/>
      </c>
      <c r="T95" s="93" t="str">
        <f t="shared" si="22"/>
        <v/>
      </c>
      <c r="U95" s="93"/>
      <c r="V95" s="107" t="str">
        <f t="shared" si="5"/>
        <v/>
      </c>
      <c r="W95" s="107"/>
    </row>
    <row r="96" ht="18.75" customHeight="1">
      <c r="A96" s="93"/>
      <c r="B96" s="93"/>
      <c r="C96" s="166"/>
      <c r="D96" s="166"/>
      <c r="E96" s="166"/>
      <c r="F96" s="166"/>
      <c r="G96" s="177"/>
      <c r="H96" s="182"/>
      <c r="I96" s="170"/>
      <c r="J96" s="169"/>
      <c r="K96" s="169"/>
      <c r="L96" s="183"/>
      <c r="M96" s="180"/>
      <c r="N96" s="181"/>
      <c r="O96" s="93"/>
      <c r="P96" s="93"/>
      <c r="Q96" s="93" t="str">
        <f t="shared" si="23"/>
        <v/>
      </c>
      <c r="R96" s="93" t="str">
        <f t="shared" si="20"/>
        <v/>
      </c>
      <c r="S96" s="93" t="str">
        <f t="shared" si="21"/>
        <v/>
      </c>
      <c r="T96" s="93" t="str">
        <f t="shared" si="22"/>
        <v/>
      </c>
      <c r="U96" s="93"/>
      <c r="V96" s="107" t="str">
        <f t="shared" si="5"/>
        <v/>
      </c>
      <c r="W96" s="107"/>
    </row>
    <row r="97" ht="18.75" customHeight="1">
      <c r="A97" s="93"/>
      <c r="B97" s="93"/>
      <c r="C97" s="166"/>
      <c r="D97" s="166"/>
      <c r="E97" s="166"/>
      <c r="F97" s="166"/>
      <c r="G97" s="177"/>
      <c r="H97" s="182"/>
      <c r="I97" s="170"/>
      <c r="J97" s="169"/>
      <c r="K97" s="169"/>
      <c r="L97" s="183"/>
      <c r="M97" s="180"/>
      <c r="N97" s="181"/>
      <c r="O97" s="93"/>
      <c r="P97" s="93"/>
      <c r="Q97" s="93" t="str">
        <f t="shared" si="23"/>
        <v/>
      </c>
      <c r="R97" s="93" t="str">
        <f t="shared" si="20"/>
        <v/>
      </c>
      <c r="S97" s="93" t="str">
        <f t="shared" si="21"/>
        <v/>
      </c>
      <c r="T97" s="93" t="str">
        <f t="shared" si="22"/>
        <v/>
      </c>
      <c r="U97" s="93"/>
      <c r="V97" s="107" t="str">
        <f t="shared" si="5"/>
        <v/>
      </c>
      <c r="W97" s="107"/>
    </row>
    <row r="98" ht="18.75" customHeight="1">
      <c r="A98" s="93"/>
      <c r="B98" s="93"/>
      <c r="C98" s="166"/>
      <c r="D98" s="166"/>
      <c r="E98" s="166"/>
      <c r="F98" s="166"/>
      <c r="G98" s="177"/>
      <c r="H98" s="182"/>
      <c r="I98" s="170"/>
      <c r="J98" s="169"/>
      <c r="K98" s="169"/>
      <c r="L98" s="183"/>
      <c r="M98" s="180"/>
      <c r="N98" s="181"/>
      <c r="O98" s="93"/>
      <c r="P98" s="93"/>
      <c r="Q98" s="93" t="str">
        <f t="shared" si="23"/>
        <v/>
      </c>
      <c r="R98" s="93" t="str">
        <f t="shared" si="20"/>
        <v/>
      </c>
      <c r="S98" s="93" t="str">
        <f t="shared" si="21"/>
        <v/>
      </c>
      <c r="T98" s="93" t="str">
        <f t="shared" si="22"/>
        <v/>
      </c>
      <c r="U98" s="93"/>
      <c r="V98" s="107" t="str">
        <f t="shared" si="5"/>
        <v/>
      </c>
      <c r="W98" s="107"/>
    </row>
    <row r="99" ht="18.75" customHeight="1">
      <c r="A99" s="93"/>
      <c r="B99" s="93"/>
      <c r="C99" s="166"/>
      <c r="D99" s="166"/>
      <c r="E99" s="166"/>
      <c r="F99" s="166"/>
      <c r="G99" s="177"/>
      <c r="H99" s="182"/>
      <c r="I99" s="170"/>
      <c r="J99" s="169"/>
      <c r="K99" s="169"/>
      <c r="L99" s="183"/>
      <c r="M99" s="180"/>
      <c r="N99" s="181"/>
      <c r="O99" s="93"/>
      <c r="P99" s="93"/>
      <c r="Q99" s="93" t="str">
        <f t="shared" si="23"/>
        <v/>
      </c>
      <c r="R99" s="93" t="str">
        <f t="shared" si="20"/>
        <v/>
      </c>
      <c r="S99" s="93" t="str">
        <f t="shared" si="21"/>
        <v/>
      </c>
      <c r="T99" s="93" t="str">
        <f t="shared" si="22"/>
        <v/>
      </c>
      <c r="U99" s="93"/>
      <c r="V99" s="107" t="str">
        <f t="shared" si="5"/>
        <v/>
      </c>
      <c r="W99" s="107"/>
    </row>
    <row r="100" ht="18.75" customHeight="1">
      <c r="A100" s="93"/>
      <c r="B100" s="93"/>
      <c r="C100" s="166"/>
      <c r="D100" s="166"/>
      <c r="E100" s="166"/>
      <c r="F100" s="166"/>
      <c r="G100" s="177"/>
      <c r="H100" s="182"/>
      <c r="I100" s="170"/>
      <c r="J100" s="169"/>
      <c r="K100" s="169"/>
      <c r="L100" s="183"/>
      <c r="M100" s="180"/>
      <c r="N100" s="181"/>
      <c r="O100" s="93"/>
      <c r="P100" s="93"/>
      <c r="Q100" s="93" t="str">
        <f t="shared" si="23"/>
        <v/>
      </c>
      <c r="R100" s="93" t="str">
        <f t="shared" si="20"/>
        <v/>
      </c>
      <c r="S100" s="93" t="str">
        <f t="shared" si="21"/>
        <v/>
      </c>
      <c r="T100" s="93" t="str">
        <f t="shared" si="22"/>
        <v/>
      </c>
      <c r="U100" s="93"/>
      <c r="V100" s="107" t="str">
        <f t="shared" si="5"/>
        <v/>
      </c>
      <c r="W100" s="107"/>
    </row>
    <row r="101" ht="18.75" customHeight="1">
      <c r="A101" s="93"/>
      <c r="B101" s="93"/>
      <c r="C101" s="166"/>
      <c r="D101" s="166"/>
      <c r="E101" s="166"/>
      <c r="F101" s="166"/>
      <c r="G101" s="177"/>
      <c r="H101" s="182"/>
      <c r="I101" s="170"/>
      <c r="J101" s="169"/>
      <c r="K101" s="169"/>
      <c r="L101" s="183"/>
      <c r="M101" s="180"/>
      <c r="N101" s="181"/>
      <c r="O101" s="93"/>
      <c r="P101" s="93"/>
      <c r="Q101" s="93" t="str">
        <f t="shared" si="23"/>
        <v/>
      </c>
      <c r="R101" s="93" t="str">
        <f t="shared" si="20"/>
        <v/>
      </c>
      <c r="S101" s="93" t="str">
        <f t="shared" si="21"/>
        <v/>
      </c>
      <c r="T101" s="93" t="str">
        <f t="shared" si="22"/>
        <v/>
      </c>
      <c r="U101" s="93"/>
      <c r="V101" s="107" t="str">
        <f t="shared" si="5"/>
        <v/>
      </c>
      <c r="W101" s="107"/>
    </row>
    <row r="102" ht="18.75" customHeight="1">
      <c r="A102" s="93"/>
      <c r="B102" s="93"/>
      <c r="C102" s="166"/>
      <c r="D102" s="166"/>
      <c r="E102" s="166"/>
      <c r="F102" s="166"/>
      <c r="G102" s="177"/>
      <c r="H102" s="182"/>
      <c r="I102" s="170"/>
      <c r="J102" s="169"/>
      <c r="K102" s="169"/>
      <c r="L102" s="183"/>
      <c r="M102" s="180"/>
      <c r="N102" s="181"/>
      <c r="O102" s="93"/>
      <c r="P102" s="93"/>
      <c r="Q102" s="93" t="str">
        <f t="shared" si="23"/>
        <v/>
      </c>
      <c r="R102" s="93" t="str">
        <f t="shared" si="20"/>
        <v/>
      </c>
      <c r="S102" s="93" t="str">
        <f t="shared" si="21"/>
        <v/>
      </c>
      <c r="T102" s="93" t="str">
        <f t="shared" si="22"/>
        <v/>
      </c>
      <c r="U102" s="93"/>
      <c r="V102" s="107" t="str">
        <f t="shared" si="5"/>
        <v/>
      </c>
      <c r="W102" s="107"/>
    </row>
    <row r="103" ht="18.75" customHeight="1">
      <c r="A103" s="93"/>
      <c r="B103" s="93"/>
      <c r="C103" s="166"/>
      <c r="D103" s="166"/>
      <c r="E103" s="166"/>
      <c r="F103" s="166"/>
      <c r="G103" s="177"/>
      <c r="H103" s="182"/>
      <c r="I103" s="170"/>
      <c r="J103" s="169"/>
      <c r="K103" s="169"/>
      <c r="L103" s="183"/>
      <c r="M103" s="180"/>
      <c r="N103" s="181"/>
      <c r="O103" s="93"/>
      <c r="P103" s="93"/>
      <c r="Q103" s="93" t="str">
        <f t="shared" si="23"/>
        <v/>
      </c>
      <c r="R103" s="93" t="str">
        <f t="shared" si="20"/>
        <v/>
      </c>
      <c r="S103" s="93" t="str">
        <f t="shared" si="21"/>
        <v/>
      </c>
      <c r="T103" s="93" t="str">
        <f t="shared" si="22"/>
        <v/>
      </c>
      <c r="U103" s="93"/>
      <c r="V103" s="107" t="str">
        <f t="shared" si="5"/>
        <v/>
      </c>
      <c r="W103" s="107"/>
    </row>
    <row r="104" ht="18.75" customHeight="1">
      <c r="A104" s="93"/>
      <c r="B104" s="93"/>
      <c r="C104" s="166"/>
      <c r="D104" s="166"/>
      <c r="E104" s="166"/>
      <c r="F104" s="166"/>
      <c r="G104" s="177"/>
      <c r="H104" s="182"/>
      <c r="I104" s="170"/>
      <c r="J104" s="169"/>
      <c r="K104" s="169"/>
      <c r="L104" s="183"/>
      <c r="M104" s="180"/>
      <c r="N104" s="181"/>
      <c r="O104" s="93"/>
      <c r="P104" s="93"/>
      <c r="Q104" s="93" t="str">
        <f t="shared" si="23"/>
        <v/>
      </c>
      <c r="R104" s="93" t="str">
        <f t="shared" si="20"/>
        <v/>
      </c>
      <c r="S104" s="93" t="str">
        <f t="shared" si="21"/>
        <v/>
      </c>
      <c r="T104" s="93" t="str">
        <f t="shared" si="22"/>
        <v/>
      </c>
      <c r="U104" s="93"/>
      <c r="V104" s="107" t="str">
        <f t="shared" si="5"/>
        <v/>
      </c>
      <c r="W104" s="107"/>
    </row>
    <row r="105" ht="18.75" customHeight="1">
      <c r="A105" s="93"/>
      <c r="B105" s="93"/>
      <c r="C105" s="166"/>
      <c r="D105" s="166"/>
      <c r="E105" s="166"/>
      <c r="F105" s="166"/>
      <c r="G105" s="177"/>
      <c r="H105" s="182"/>
      <c r="I105" s="170"/>
      <c r="J105" s="169"/>
      <c r="K105" s="169"/>
      <c r="L105" s="183"/>
      <c r="M105" s="180"/>
      <c r="N105" s="181"/>
      <c r="O105" s="93"/>
      <c r="P105" s="93"/>
      <c r="Q105" s="93" t="str">
        <f t="shared" si="23"/>
        <v/>
      </c>
      <c r="R105" s="93" t="str">
        <f t="shared" si="20"/>
        <v/>
      </c>
      <c r="S105" s="93" t="str">
        <f t="shared" si="21"/>
        <v/>
      </c>
      <c r="T105" s="93" t="str">
        <f t="shared" si="22"/>
        <v/>
      </c>
      <c r="U105" s="93"/>
      <c r="V105" s="107" t="str">
        <f t="shared" si="5"/>
        <v/>
      </c>
      <c r="W105" s="107"/>
    </row>
    <row r="106" ht="18.75" customHeight="1">
      <c r="A106" s="93"/>
      <c r="B106" s="93"/>
      <c r="C106" s="166"/>
      <c r="D106" s="166"/>
      <c r="E106" s="166"/>
      <c r="F106" s="166"/>
      <c r="G106" s="177"/>
      <c r="H106" s="182"/>
      <c r="I106" s="170"/>
      <c r="J106" s="169"/>
      <c r="K106" s="169"/>
      <c r="L106" s="183"/>
      <c r="M106" s="180"/>
      <c r="N106" s="181"/>
      <c r="O106" s="93"/>
      <c r="P106" s="93"/>
      <c r="Q106" s="93" t="str">
        <f t="shared" si="23"/>
        <v/>
      </c>
      <c r="R106" s="93" t="str">
        <f t="shared" si="20"/>
        <v/>
      </c>
      <c r="S106" s="93" t="str">
        <f t="shared" si="21"/>
        <v/>
      </c>
      <c r="T106" s="93" t="str">
        <f t="shared" si="22"/>
        <v/>
      </c>
      <c r="U106" s="93"/>
      <c r="V106" s="107" t="str">
        <f t="shared" si="5"/>
        <v/>
      </c>
      <c r="W106" s="107"/>
    </row>
    <row r="107" ht="18.75" customHeight="1">
      <c r="A107" s="93"/>
      <c r="B107" s="93"/>
      <c r="C107" s="166"/>
      <c r="D107" s="166"/>
      <c r="E107" s="166"/>
      <c r="F107" s="166"/>
      <c r="G107" s="177"/>
      <c r="H107" s="182"/>
      <c r="I107" s="170"/>
      <c r="J107" s="169"/>
      <c r="K107" s="169"/>
      <c r="L107" s="183"/>
      <c r="M107" s="180"/>
      <c r="N107" s="181"/>
      <c r="O107" s="93"/>
      <c r="P107" s="93"/>
      <c r="Q107" s="93" t="str">
        <f t="shared" si="23"/>
        <v/>
      </c>
      <c r="R107" s="93" t="str">
        <f t="shared" si="20"/>
        <v/>
      </c>
      <c r="S107" s="93" t="str">
        <f t="shared" si="21"/>
        <v/>
      </c>
      <c r="T107" s="93" t="str">
        <f t="shared" si="22"/>
        <v/>
      </c>
      <c r="U107" s="93"/>
      <c r="V107" s="107" t="str">
        <f t="shared" si="5"/>
        <v/>
      </c>
      <c r="W107" s="107"/>
    </row>
    <row r="108" ht="18.75" customHeight="1">
      <c r="A108" s="93"/>
      <c r="B108" s="93"/>
      <c r="C108" s="166"/>
      <c r="D108" s="166"/>
      <c r="E108" s="166"/>
      <c r="F108" s="166"/>
      <c r="G108" s="177"/>
      <c r="H108" s="182"/>
      <c r="I108" s="170"/>
      <c r="J108" s="169"/>
      <c r="K108" s="169"/>
      <c r="L108" s="183"/>
      <c r="M108" s="180"/>
      <c r="N108" s="181"/>
      <c r="O108" s="93"/>
      <c r="P108" s="93"/>
      <c r="Q108" s="93" t="str">
        <f t="shared" si="23"/>
        <v/>
      </c>
      <c r="R108" s="93" t="str">
        <f t="shared" si="20"/>
        <v/>
      </c>
      <c r="S108" s="93" t="str">
        <f t="shared" si="21"/>
        <v/>
      </c>
      <c r="T108" s="93" t="str">
        <f t="shared" si="22"/>
        <v/>
      </c>
      <c r="U108" s="93"/>
      <c r="V108" s="107" t="str">
        <f t="shared" si="5"/>
        <v/>
      </c>
      <c r="W108" s="107"/>
    </row>
    <row r="109" ht="18.75" customHeight="1">
      <c r="A109" s="93"/>
      <c r="B109" s="93"/>
      <c r="C109" s="166"/>
      <c r="D109" s="166"/>
      <c r="E109" s="166"/>
      <c r="F109" s="166"/>
      <c r="G109" s="177"/>
      <c r="H109" s="182"/>
      <c r="I109" s="170"/>
      <c r="J109" s="169"/>
      <c r="K109" s="169"/>
      <c r="L109" s="183"/>
      <c r="M109" s="180"/>
      <c r="N109" s="181"/>
      <c r="O109" s="93"/>
      <c r="P109" s="93"/>
      <c r="Q109" s="93" t="str">
        <f t="shared" si="23"/>
        <v/>
      </c>
      <c r="R109" s="93" t="str">
        <f t="shared" si="20"/>
        <v/>
      </c>
      <c r="S109" s="93" t="str">
        <f t="shared" si="21"/>
        <v/>
      </c>
      <c r="T109" s="93" t="str">
        <f t="shared" si="22"/>
        <v/>
      </c>
      <c r="U109" s="93"/>
      <c r="V109" s="107" t="str">
        <f t="shared" si="5"/>
        <v/>
      </c>
      <c r="W109" s="107"/>
    </row>
    <row r="110" ht="18.75" customHeight="1">
      <c r="A110" s="93"/>
      <c r="B110" s="93"/>
      <c r="C110" s="166"/>
      <c r="D110" s="166"/>
      <c r="E110" s="166"/>
      <c r="F110" s="166"/>
      <c r="G110" s="177"/>
      <c r="H110" s="182"/>
      <c r="I110" s="170"/>
      <c r="J110" s="169"/>
      <c r="K110" s="169"/>
      <c r="L110" s="183"/>
      <c r="M110" s="180"/>
      <c r="N110" s="181"/>
      <c r="O110" s="93"/>
      <c r="P110" s="93"/>
      <c r="Q110" s="93" t="str">
        <f t="shared" si="23"/>
        <v/>
      </c>
      <c r="R110" s="93" t="str">
        <f t="shared" si="20"/>
        <v/>
      </c>
      <c r="S110" s="93" t="str">
        <f t="shared" si="21"/>
        <v/>
      </c>
      <c r="T110" s="93" t="str">
        <f t="shared" si="22"/>
        <v/>
      </c>
      <c r="U110" s="93"/>
      <c r="V110" s="107"/>
      <c r="W110" s="107"/>
    </row>
    <row r="111" ht="18.75" customHeight="1">
      <c r="A111" s="93"/>
      <c r="B111" s="93"/>
      <c r="C111" s="166"/>
      <c r="D111" s="166"/>
      <c r="E111" s="166"/>
      <c r="F111" s="166"/>
      <c r="G111" s="177"/>
      <c r="H111" s="182"/>
      <c r="I111" s="170"/>
      <c r="J111" s="169"/>
      <c r="K111" s="169"/>
      <c r="L111" s="183"/>
      <c r="M111" s="180"/>
      <c r="N111" s="181"/>
      <c r="O111" s="93"/>
      <c r="P111" s="93"/>
      <c r="Q111" s="93" t="str">
        <f t="shared" si="23"/>
        <v/>
      </c>
      <c r="R111" s="93" t="str">
        <f t="shared" si="20"/>
        <v/>
      </c>
      <c r="S111" s="93" t="str">
        <f t="shared" si="21"/>
        <v/>
      </c>
      <c r="T111" s="93" t="str">
        <f t="shared" si="22"/>
        <v/>
      </c>
      <c r="U111" s="93"/>
      <c r="V111" s="107"/>
      <c r="W111" s="107"/>
    </row>
    <row r="112" ht="18.75" customHeight="1">
      <c r="A112" s="93"/>
      <c r="B112" s="93"/>
      <c r="C112" s="166"/>
      <c r="D112" s="166"/>
      <c r="E112" s="166"/>
      <c r="F112" s="166"/>
      <c r="G112" s="177"/>
      <c r="H112" s="182"/>
      <c r="I112" s="170"/>
      <c r="J112" s="169"/>
      <c r="K112" s="169"/>
      <c r="L112" s="183"/>
      <c r="M112" s="180"/>
      <c r="N112" s="181"/>
      <c r="O112" s="93"/>
      <c r="P112" s="93"/>
      <c r="Q112" s="93" t="str">
        <f t="shared" si="23"/>
        <v/>
      </c>
      <c r="R112" s="93" t="str">
        <f t="shared" si="20"/>
        <v/>
      </c>
      <c r="S112" s="93" t="str">
        <f t="shared" si="21"/>
        <v/>
      </c>
      <c r="T112" s="93" t="str">
        <f t="shared" si="22"/>
        <v/>
      </c>
      <c r="U112" s="93"/>
      <c r="V112" s="107"/>
      <c r="W112" s="107"/>
    </row>
  </sheetData>
  <conditionalFormatting sqref="D4:D112">
    <cfRule type="expression" dxfId="6" priority="1">
      <formula>$K4="OK"</formula>
    </cfRule>
  </conditionalFormatting>
  <conditionalFormatting sqref="P24:T24">
    <cfRule type="notContainsBlanks" dxfId="7" priority="2">
      <formula>LEN(TRIM(P24))&gt;0</formula>
    </cfRule>
  </conditionalFormatting>
  <conditionalFormatting sqref="C3:C32">
    <cfRule type="expression" dxfId="8" priority="3">
      <formula>C3&gt;=$Q$10</formula>
    </cfRule>
  </conditionalFormatting>
  <conditionalFormatting sqref="C3:C33">
    <cfRule type="expression" dxfId="9" priority="4">
      <formula>B2=$A$1</formula>
    </cfRule>
  </conditionalFormatting>
  <conditionalFormatting sqref="C3:C32">
    <cfRule type="expression" dxfId="10" priority="5">
      <formula>OR($B3&lt;=$A$1,$A$1="")</formula>
    </cfRule>
  </conditionalFormatting>
  <conditionalFormatting sqref="B3:B33">
    <cfRule type="cellIs" dxfId="11" priority="6" operator="lessThan">
      <formula>"$a$1"</formula>
    </cfRule>
  </conditionalFormatting>
  <conditionalFormatting sqref="E3:E32">
    <cfRule type="expression" dxfId="12" priority="7">
      <formula>OR($B3&lt;=$A$1,$A$1="")</formula>
    </cfRule>
  </conditionalFormatting>
  <conditionalFormatting sqref="G3:G32 L3:N32">
    <cfRule type="expression" dxfId="13" priority="8">
      <formula>OR($B3&lt;=$A$1,$A$1="")</formula>
    </cfRule>
  </conditionalFormatting>
  <conditionalFormatting sqref="J3:J32">
    <cfRule type="expression" dxfId="12" priority="9">
      <formula>OR($B3&lt;=$A$1,$A$1="")</formula>
    </cfRule>
  </conditionalFormatting>
  <conditionalFormatting sqref="H3:I33">
    <cfRule type="expression" dxfId="14" priority="10">
      <formula>$B3&lt;=$A$1</formula>
    </cfRule>
  </conditionalFormatting>
  <conditionalFormatting sqref="C33">
    <cfRule type="expression" dxfId="9" priority="11">
      <formula>A1=""</formula>
    </cfRule>
  </conditionalFormatting>
  <dataValidations>
    <dataValidation type="list" allowBlank="1" showErrorMessage="1" sqref="M3:M32">
      <formula1>Diretrizes!$B$17:$B$33</formula1>
    </dataValidation>
  </dataValidations>
  <printOptions/>
  <pageMargins bottom="0.7875" footer="0.0" header="0.0" left="0.511805555555555" right="0.511805555555555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5.57"/>
    <col customWidth="1" min="3" max="3" width="10.0"/>
    <col customWidth="1" hidden="1" min="4" max="4" width="9.43"/>
    <col customWidth="1" min="5" max="5" width="11.57"/>
    <col customWidth="1" hidden="1" min="6" max="6" width="12.29"/>
    <col customWidth="1" min="7" max="7" width="7.71"/>
    <col customWidth="1" hidden="1" min="8" max="8" width="11.86"/>
    <col customWidth="1" hidden="1" min="9" max="9" width="9.29"/>
    <col customWidth="1" min="10" max="10" width="9.71"/>
    <col customWidth="1" hidden="1" min="11" max="11" width="9.14"/>
    <col customWidth="1" min="12" max="12" width="20.57"/>
    <col customWidth="1" min="13" max="13" width="22.86"/>
    <col customWidth="1" min="14" max="14" width="15.43"/>
    <col customWidth="1" min="15" max="15" width="5.14"/>
    <col customWidth="1" min="16" max="16" width="22.0"/>
    <col customWidth="1" min="17" max="17" width="14.14"/>
    <col customWidth="1" min="18" max="18" width="6.43"/>
    <col customWidth="1" min="19" max="20" width="12.14"/>
    <col customWidth="1" min="21" max="21" width="3.0"/>
    <col customWidth="1" hidden="1" min="22" max="23" width="14.71"/>
  </cols>
  <sheetData>
    <row r="1" ht="18.75" customHeight="1">
      <c r="A1" s="84">
        <f>IF(Diretrizes!J3&lt;2,"",Diretrizes!J3)</f>
        <v>12</v>
      </c>
      <c r="B1" s="85"/>
      <c r="C1" s="86" t="s">
        <v>36</v>
      </c>
      <c r="D1" s="87" t="s">
        <v>36</v>
      </c>
      <c r="E1" s="88" t="s">
        <v>37</v>
      </c>
      <c r="F1" s="89" t="s">
        <v>38</v>
      </c>
      <c r="G1" s="90"/>
      <c r="H1" s="91"/>
      <c r="I1" s="91"/>
      <c r="J1" s="88"/>
      <c r="K1" s="92"/>
      <c r="L1" s="90"/>
      <c r="M1" s="90"/>
      <c r="N1" s="90"/>
      <c r="O1" s="93"/>
      <c r="P1" s="93"/>
      <c r="Q1" s="93"/>
      <c r="R1" s="93"/>
      <c r="S1" s="93"/>
      <c r="T1" s="93"/>
      <c r="U1" s="93"/>
      <c r="V1" s="94"/>
      <c r="W1" s="94"/>
    </row>
    <row r="2" ht="18.75" customHeight="1">
      <c r="A2" s="93"/>
      <c r="B2" s="95" t="s">
        <v>39</v>
      </c>
      <c r="C2" s="96" t="s">
        <v>40</v>
      </c>
      <c r="D2" s="87" t="s">
        <v>41</v>
      </c>
      <c r="E2" s="97" t="s">
        <v>40</v>
      </c>
      <c r="F2" s="89" t="s">
        <v>41</v>
      </c>
      <c r="G2" s="98" t="s">
        <v>42</v>
      </c>
      <c r="H2" s="99" t="s">
        <v>43</v>
      </c>
      <c r="I2" s="99" t="s">
        <v>44</v>
      </c>
      <c r="J2" s="97" t="s">
        <v>45</v>
      </c>
      <c r="K2" s="100"/>
      <c r="L2" s="98" t="s">
        <v>39</v>
      </c>
      <c r="M2" s="98" t="s">
        <v>24</v>
      </c>
      <c r="N2" s="98" t="s">
        <v>34</v>
      </c>
      <c r="O2" s="101"/>
      <c r="P2" s="102" t="s">
        <v>46</v>
      </c>
      <c r="Q2" s="103"/>
      <c r="R2" s="104"/>
      <c r="S2" s="105"/>
      <c r="T2" s="106"/>
      <c r="U2" s="106"/>
      <c r="V2" s="107"/>
      <c r="W2" s="107"/>
    </row>
    <row r="3" ht="18.0" customHeight="1">
      <c r="A3" s="93"/>
      <c r="B3" s="108">
        <v>1.0</v>
      </c>
      <c r="C3" s="109">
        <f>Diretrizes!D3</f>
        <v>100</v>
      </c>
      <c r="D3" s="110">
        <f>C3</f>
        <v>100</v>
      </c>
      <c r="E3" s="111">
        <f t="shared" ref="E3:E32" si="1">IF(C3="",,IF(B3="",,C3*J3))</f>
        <v>4</v>
      </c>
      <c r="F3" s="110">
        <f t="shared" ref="F3:F32" si="2">if(D3="",,D3*J3)</f>
        <v>4</v>
      </c>
      <c r="G3" s="112"/>
      <c r="H3" s="113" t="str">
        <f t="shared" ref="H3:H32" si="3">IF(G3=0,,G3/C3)</f>
        <v/>
      </c>
      <c r="I3" s="114" t="str">
        <f t="shared" ref="I3:I32" si="4">if(G3="",,G3-F3)</f>
        <v/>
      </c>
      <c r="J3" s="115">
        <f>Diretrizes!D4</f>
        <v>0.04</v>
      </c>
      <c r="K3" s="116"/>
      <c r="L3" s="184"/>
      <c r="M3" s="118"/>
      <c r="N3" s="118"/>
      <c r="O3" s="101" t="s">
        <v>47</v>
      </c>
      <c r="P3" s="119" t="s">
        <v>48</v>
      </c>
      <c r="Q3" s="120"/>
      <c r="R3" s="121"/>
      <c r="S3" s="105"/>
      <c r="T3" s="122"/>
      <c r="U3" s="122"/>
      <c r="V3" s="107" t="str">
        <f t="shared" ref="V3:V88" si="5">if(L3="","", left(L3, find(" x ",L3)-1))</f>
        <v/>
      </c>
      <c r="W3" s="107" t="str">
        <f t="shared" ref="W3:W75" si="6">if(L3="","", TRIM(mid(L3,find(" x ",L3)+3,20)))</f>
        <v/>
      </c>
    </row>
    <row r="4" ht="18.0" customHeight="1">
      <c r="A4" s="93"/>
      <c r="B4" s="123">
        <f t="shared" ref="B4:B32" si="7">IF(B3&lt;$A$1,B3+1,if($A$1="",B3+1,""))</f>
        <v>2</v>
      </c>
      <c r="C4" s="110" t="str">
        <f t="shared" ref="C4:C33" si="8">IF(G3&lt;&gt;0,C3+G3,)</f>
        <v/>
      </c>
      <c r="D4" s="110" t="str">
        <f t="shared" ref="D4:D33" si="9">if(C4="",,D3*(1+J3))</f>
        <v/>
      </c>
      <c r="E4" s="124" t="str">
        <f t="shared" si="1"/>
        <v/>
      </c>
      <c r="F4" s="110" t="str">
        <f t="shared" si="2"/>
        <v/>
      </c>
      <c r="G4" s="125"/>
      <c r="H4" s="116" t="str">
        <f t="shared" si="3"/>
        <v/>
      </c>
      <c r="I4" s="126" t="str">
        <f t="shared" si="4"/>
        <v/>
      </c>
      <c r="J4" s="127">
        <f>if(B4&lt;&gt;"",J3*(1-Diretrizes!D$5),)</f>
        <v>0.04</v>
      </c>
      <c r="K4" s="116" t="str">
        <f t="shared" ref="K4:K12" si="10">IF(AND(D4&gt;$Q$9,D3&lt;$Q$9),"OK","NOK")</f>
        <v>NOK</v>
      </c>
      <c r="L4" s="185"/>
      <c r="M4" s="118"/>
      <c r="N4" s="118"/>
      <c r="O4" s="128" t="s">
        <v>47</v>
      </c>
      <c r="P4" s="121"/>
      <c r="Q4" s="121"/>
      <c r="R4" s="104"/>
      <c r="S4" s="105"/>
      <c r="T4" s="122"/>
      <c r="U4" s="122"/>
      <c r="V4" s="107" t="str">
        <f t="shared" si="5"/>
        <v/>
      </c>
      <c r="W4" s="107" t="str">
        <f t="shared" si="6"/>
        <v/>
      </c>
    </row>
    <row r="5" ht="18.0" customHeight="1">
      <c r="A5" s="93"/>
      <c r="B5" s="123">
        <f t="shared" si="7"/>
        <v>3</v>
      </c>
      <c r="C5" s="110" t="str">
        <f t="shared" si="8"/>
        <v/>
      </c>
      <c r="D5" s="110" t="str">
        <f t="shared" si="9"/>
        <v/>
      </c>
      <c r="E5" s="124" t="str">
        <f t="shared" si="1"/>
        <v/>
      </c>
      <c r="F5" s="110" t="str">
        <f t="shared" si="2"/>
        <v/>
      </c>
      <c r="G5" s="125"/>
      <c r="H5" s="116" t="str">
        <f t="shared" si="3"/>
        <v/>
      </c>
      <c r="I5" s="126" t="str">
        <f t="shared" si="4"/>
        <v/>
      </c>
      <c r="J5" s="127">
        <f>if(B5&lt;&gt;"",J4*(1-Diretrizes!D$5),)</f>
        <v>0.04</v>
      </c>
      <c r="K5" s="116" t="str">
        <f t="shared" si="10"/>
        <v>NOK</v>
      </c>
      <c r="L5" s="185"/>
      <c r="M5" s="118"/>
      <c r="N5" s="118"/>
      <c r="O5" s="130" t="s">
        <v>47</v>
      </c>
      <c r="P5" s="131" t="s">
        <v>6</v>
      </c>
      <c r="Q5" s="132">
        <f>Diretrizes!D3</f>
        <v>100</v>
      </c>
      <c r="R5" s="104"/>
      <c r="S5" s="131" t="s">
        <v>44</v>
      </c>
      <c r="T5" s="132">
        <f>SUM(I3:I32)</f>
        <v>0</v>
      </c>
      <c r="U5" s="133"/>
      <c r="V5" s="107" t="str">
        <f t="shared" si="5"/>
        <v/>
      </c>
      <c r="W5" s="107" t="str">
        <f t="shared" si="6"/>
        <v/>
      </c>
    </row>
    <row r="6" ht="18.0" customHeight="1">
      <c r="A6" s="93"/>
      <c r="B6" s="123">
        <f t="shared" si="7"/>
        <v>4</v>
      </c>
      <c r="C6" s="110" t="str">
        <f t="shared" si="8"/>
        <v/>
      </c>
      <c r="D6" s="110" t="str">
        <f t="shared" si="9"/>
        <v/>
      </c>
      <c r="E6" s="124" t="str">
        <f t="shared" si="1"/>
        <v/>
      </c>
      <c r="F6" s="110" t="str">
        <f t="shared" si="2"/>
        <v/>
      </c>
      <c r="G6" s="125"/>
      <c r="H6" s="116" t="str">
        <f t="shared" si="3"/>
        <v/>
      </c>
      <c r="I6" s="126" t="str">
        <f t="shared" si="4"/>
        <v/>
      </c>
      <c r="J6" s="127">
        <f>if(B6&lt;&gt;"",J5*(1-Diretrizes!D$5),)</f>
        <v>0.04</v>
      </c>
      <c r="K6" s="116" t="str">
        <f t="shared" si="10"/>
        <v>NOK</v>
      </c>
      <c r="L6" s="185"/>
      <c r="M6" s="118"/>
      <c r="N6" s="118"/>
      <c r="O6" s="130" t="s">
        <v>47</v>
      </c>
      <c r="P6" s="131" t="s">
        <v>49</v>
      </c>
      <c r="Q6" s="132">
        <f>Q7+C3</f>
        <v>100</v>
      </c>
      <c r="R6" s="135"/>
      <c r="S6" s="104"/>
      <c r="T6" s="136"/>
      <c r="U6" s="104"/>
      <c r="V6" s="107" t="str">
        <f t="shared" si="5"/>
        <v/>
      </c>
      <c r="W6" s="107" t="str">
        <f t="shared" si="6"/>
        <v/>
      </c>
    </row>
    <row r="7" ht="18.0" customHeight="1">
      <c r="A7" s="93"/>
      <c r="B7" s="123">
        <f t="shared" si="7"/>
        <v>5</v>
      </c>
      <c r="C7" s="110" t="str">
        <f t="shared" si="8"/>
        <v/>
      </c>
      <c r="D7" s="110" t="str">
        <f t="shared" si="9"/>
        <v/>
      </c>
      <c r="E7" s="124" t="str">
        <f t="shared" si="1"/>
        <v/>
      </c>
      <c r="F7" s="110" t="str">
        <f t="shared" si="2"/>
        <v/>
      </c>
      <c r="G7" s="137"/>
      <c r="H7" s="116" t="str">
        <f t="shared" si="3"/>
        <v/>
      </c>
      <c r="I7" s="126" t="str">
        <f t="shared" si="4"/>
        <v/>
      </c>
      <c r="J7" s="127">
        <f>if(B7&lt;&gt;"",J6*(1-Diretrizes!D$5),)</f>
        <v>0.04</v>
      </c>
      <c r="K7" s="116" t="str">
        <f t="shared" si="10"/>
        <v>NOK</v>
      </c>
      <c r="L7" s="185"/>
      <c r="M7" s="118"/>
      <c r="N7" s="118"/>
      <c r="O7" s="130" t="s">
        <v>47</v>
      </c>
      <c r="P7" s="131" t="s">
        <v>50</v>
      </c>
      <c r="Q7" s="132">
        <f>SUM(G3:G32)</f>
        <v>0</v>
      </c>
      <c r="R7" s="135"/>
      <c r="S7" s="102" t="s">
        <v>51</v>
      </c>
      <c r="T7" s="138" t="str">
        <f>IF(G3="",,MAX(0,Q6-'Ciclo 3'!Q5))</f>
        <v/>
      </c>
      <c r="U7" s="139"/>
      <c r="V7" s="107" t="str">
        <f t="shared" si="5"/>
        <v/>
      </c>
      <c r="W7" s="107" t="str">
        <f t="shared" si="6"/>
        <v/>
      </c>
    </row>
    <row r="8" ht="18.0" customHeight="1">
      <c r="A8" s="93"/>
      <c r="B8" s="123">
        <f t="shared" si="7"/>
        <v>6</v>
      </c>
      <c r="C8" s="110" t="str">
        <f t="shared" si="8"/>
        <v/>
      </c>
      <c r="D8" s="110" t="str">
        <f t="shared" si="9"/>
        <v/>
      </c>
      <c r="E8" s="124" t="str">
        <f t="shared" si="1"/>
        <v/>
      </c>
      <c r="F8" s="110" t="str">
        <f t="shared" si="2"/>
        <v/>
      </c>
      <c r="G8" s="137"/>
      <c r="H8" s="116" t="str">
        <f t="shared" si="3"/>
        <v/>
      </c>
      <c r="I8" s="126" t="str">
        <f t="shared" si="4"/>
        <v/>
      </c>
      <c r="J8" s="140">
        <f>if(B8&lt;&gt;"",J7*(1-Diretrizes!D$5),)</f>
        <v>0.04</v>
      </c>
      <c r="K8" s="116" t="str">
        <f t="shared" si="10"/>
        <v>NOK</v>
      </c>
      <c r="L8" s="185"/>
      <c r="M8" s="141"/>
      <c r="N8" s="141"/>
      <c r="O8" s="130" t="s">
        <v>47</v>
      </c>
      <c r="P8" s="142" t="s">
        <v>52</v>
      </c>
      <c r="Q8" s="143">
        <f>Q6/C3-1</f>
        <v>0</v>
      </c>
      <c r="R8" s="104"/>
      <c r="S8" s="104"/>
      <c r="T8" s="135"/>
      <c r="U8" s="135"/>
      <c r="V8" s="107" t="str">
        <f t="shared" si="5"/>
        <v/>
      </c>
      <c r="W8" s="107" t="str">
        <f t="shared" si="6"/>
        <v/>
      </c>
    </row>
    <row r="9" ht="18.0" customHeight="1">
      <c r="A9" s="93"/>
      <c r="B9" s="123">
        <f t="shared" si="7"/>
        <v>7</v>
      </c>
      <c r="C9" s="110" t="str">
        <f t="shared" si="8"/>
        <v/>
      </c>
      <c r="D9" s="110" t="str">
        <f t="shared" si="9"/>
        <v/>
      </c>
      <c r="E9" s="124" t="str">
        <f t="shared" si="1"/>
        <v/>
      </c>
      <c r="F9" s="110" t="str">
        <f t="shared" si="2"/>
        <v/>
      </c>
      <c r="G9" s="137"/>
      <c r="H9" s="116" t="str">
        <f t="shared" si="3"/>
        <v/>
      </c>
      <c r="I9" s="126" t="str">
        <f t="shared" si="4"/>
        <v/>
      </c>
      <c r="J9" s="127">
        <f>if(B9&lt;&gt;"",J8*(1-Diretrizes!D$5),)</f>
        <v>0.04</v>
      </c>
      <c r="K9" s="116" t="str">
        <f t="shared" si="10"/>
        <v>NOK</v>
      </c>
      <c r="L9" s="185"/>
      <c r="M9" s="141"/>
      <c r="N9" s="141"/>
      <c r="O9" s="130" t="s">
        <v>47</v>
      </c>
      <c r="P9" s="144"/>
      <c r="Q9" s="144"/>
      <c r="R9" s="104"/>
      <c r="S9" s="105"/>
      <c r="T9" s="122"/>
      <c r="U9" s="122"/>
      <c r="V9" s="107" t="str">
        <f t="shared" si="5"/>
        <v/>
      </c>
      <c r="W9" s="107" t="str">
        <f t="shared" si="6"/>
        <v/>
      </c>
    </row>
    <row r="10" ht="18.0" customHeight="1">
      <c r="A10" s="93"/>
      <c r="B10" s="123">
        <f t="shared" si="7"/>
        <v>8</v>
      </c>
      <c r="C10" s="110" t="str">
        <f t="shared" si="8"/>
        <v/>
      </c>
      <c r="D10" s="110" t="str">
        <f t="shared" si="9"/>
        <v/>
      </c>
      <c r="E10" s="124" t="str">
        <f t="shared" si="1"/>
        <v/>
      </c>
      <c r="F10" s="110" t="str">
        <f t="shared" si="2"/>
        <v/>
      </c>
      <c r="G10" s="137"/>
      <c r="H10" s="116" t="str">
        <f t="shared" si="3"/>
        <v/>
      </c>
      <c r="I10" s="126" t="str">
        <f t="shared" si="4"/>
        <v/>
      </c>
      <c r="J10" s="127">
        <f>if(B10&lt;&gt;"",J9*(1-Diretrizes!D$5),)</f>
        <v>0.04</v>
      </c>
      <c r="K10" s="116" t="str">
        <f t="shared" si="10"/>
        <v>NOK</v>
      </c>
      <c r="L10" s="185"/>
      <c r="M10" s="118"/>
      <c r="N10" s="141"/>
      <c r="O10" s="145" t="s">
        <v>47</v>
      </c>
      <c r="P10" s="131" t="s">
        <v>53</v>
      </c>
      <c r="Q10" s="132">
        <f>Diretrizes!D7</f>
        <v>150</v>
      </c>
      <c r="R10" s="146"/>
      <c r="S10" s="93"/>
      <c r="T10" s="147"/>
      <c r="U10" s="147"/>
      <c r="V10" s="107" t="str">
        <f t="shared" si="5"/>
        <v/>
      </c>
      <c r="W10" s="107" t="str">
        <f t="shared" si="6"/>
        <v/>
      </c>
    </row>
    <row r="11" ht="18.0" customHeight="1">
      <c r="A11" s="93"/>
      <c r="B11" s="123">
        <f t="shared" si="7"/>
        <v>9</v>
      </c>
      <c r="C11" s="110" t="str">
        <f t="shared" si="8"/>
        <v/>
      </c>
      <c r="D11" s="110" t="str">
        <f t="shared" si="9"/>
        <v/>
      </c>
      <c r="E11" s="124" t="str">
        <f t="shared" si="1"/>
        <v/>
      </c>
      <c r="F11" s="110" t="str">
        <f t="shared" si="2"/>
        <v/>
      </c>
      <c r="G11" s="137"/>
      <c r="H11" s="116" t="str">
        <f t="shared" si="3"/>
        <v/>
      </c>
      <c r="I11" s="126" t="str">
        <f t="shared" si="4"/>
        <v/>
      </c>
      <c r="J11" s="127">
        <f>if(B11&lt;&gt;"",J10*(1-Diretrizes!D$5),)</f>
        <v>0.04</v>
      </c>
      <c r="K11" s="116" t="str">
        <f t="shared" si="10"/>
        <v>NOK</v>
      </c>
      <c r="L11" s="185"/>
      <c r="M11" s="118"/>
      <c r="N11" s="118"/>
      <c r="O11" s="145" t="s">
        <v>47</v>
      </c>
      <c r="U11" s="147"/>
      <c r="V11" s="107" t="str">
        <f t="shared" si="5"/>
        <v/>
      </c>
      <c r="W11" s="107" t="str">
        <f t="shared" si="6"/>
        <v/>
      </c>
    </row>
    <row r="12" ht="18.0" customHeight="1">
      <c r="A12" s="93"/>
      <c r="B12" s="123">
        <f t="shared" si="7"/>
        <v>10</v>
      </c>
      <c r="C12" s="110" t="str">
        <f t="shared" si="8"/>
        <v/>
      </c>
      <c r="D12" s="110" t="str">
        <f t="shared" si="9"/>
        <v/>
      </c>
      <c r="E12" s="124" t="str">
        <f t="shared" si="1"/>
        <v/>
      </c>
      <c r="F12" s="110" t="str">
        <f t="shared" si="2"/>
        <v/>
      </c>
      <c r="G12" s="137"/>
      <c r="H12" s="116" t="str">
        <f t="shared" si="3"/>
        <v/>
      </c>
      <c r="I12" s="126" t="str">
        <f t="shared" si="4"/>
        <v/>
      </c>
      <c r="J12" s="127">
        <f>if(B12&lt;&gt;"",J11*(1-Diretrizes!D$5),)</f>
        <v>0.04</v>
      </c>
      <c r="K12" s="116" t="str">
        <f t="shared" si="10"/>
        <v>NOK</v>
      </c>
      <c r="L12" s="185"/>
      <c r="M12" s="118"/>
      <c r="N12" s="118"/>
      <c r="O12" s="148" t="s">
        <v>47</v>
      </c>
      <c r="P12" s="149" t="s">
        <v>54</v>
      </c>
      <c r="Q12" s="93"/>
      <c r="R12" s="93"/>
      <c r="S12" s="93"/>
      <c r="T12" s="147"/>
      <c r="U12" s="147"/>
      <c r="V12" s="107" t="str">
        <f t="shared" si="5"/>
        <v/>
      </c>
      <c r="W12" s="107" t="str">
        <f t="shared" si="6"/>
        <v/>
      </c>
    </row>
    <row r="13" ht="18.0" customHeight="1">
      <c r="A13" s="93"/>
      <c r="B13" s="123">
        <f t="shared" si="7"/>
        <v>11</v>
      </c>
      <c r="C13" s="110" t="str">
        <f t="shared" si="8"/>
        <v/>
      </c>
      <c r="D13" s="110" t="str">
        <f t="shared" si="9"/>
        <v/>
      </c>
      <c r="E13" s="124" t="str">
        <f t="shared" si="1"/>
        <v/>
      </c>
      <c r="F13" s="110" t="str">
        <f t="shared" si="2"/>
        <v/>
      </c>
      <c r="G13" s="137"/>
      <c r="H13" s="116" t="str">
        <f t="shared" si="3"/>
        <v/>
      </c>
      <c r="I13" s="126" t="str">
        <f t="shared" si="4"/>
        <v/>
      </c>
      <c r="J13" s="127">
        <f>if(B13&lt;&gt;"",J12*(1-Diretrizes!D$5),)</f>
        <v>0.04</v>
      </c>
      <c r="K13" s="116"/>
      <c r="L13" s="185"/>
      <c r="M13" s="150"/>
      <c r="N13" s="118"/>
      <c r="O13" s="151" t="s">
        <v>47</v>
      </c>
      <c r="P13" s="152" t="s">
        <v>24</v>
      </c>
      <c r="Q13" s="153" t="s">
        <v>26</v>
      </c>
      <c r="R13" s="153" t="s">
        <v>55</v>
      </c>
      <c r="S13" s="153" t="s">
        <v>27</v>
      </c>
      <c r="T13" s="154" t="s">
        <v>28</v>
      </c>
      <c r="U13" s="147"/>
      <c r="V13" s="107" t="str">
        <f t="shared" si="5"/>
        <v/>
      </c>
      <c r="W13" s="107" t="str">
        <f t="shared" si="6"/>
        <v/>
      </c>
    </row>
    <row r="14" ht="18.0" customHeight="1">
      <c r="A14" s="93"/>
      <c r="B14" s="123">
        <f t="shared" si="7"/>
        <v>12</v>
      </c>
      <c r="C14" s="110" t="str">
        <f t="shared" si="8"/>
        <v/>
      </c>
      <c r="D14" s="110" t="str">
        <f t="shared" si="9"/>
        <v/>
      </c>
      <c r="E14" s="124" t="str">
        <f t="shared" si="1"/>
        <v/>
      </c>
      <c r="F14" s="110" t="str">
        <f t="shared" si="2"/>
        <v/>
      </c>
      <c r="G14" s="137"/>
      <c r="H14" s="116" t="str">
        <f t="shared" si="3"/>
        <v/>
      </c>
      <c r="I14" s="126" t="str">
        <f t="shared" si="4"/>
        <v/>
      </c>
      <c r="J14" s="127">
        <f>if(B14&lt;&gt;"",J13*(1-Diretrizes!D$5),)</f>
        <v>0.04</v>
      </c>
      <c r="K14" s="116"/>
      <c r="L14" s="185"/>
      <c r="M14" s="150"/>
      <c r="N14" s="118"/>
      <c r="O14" s="148" t="s">
        <v>47</v>
      </c>
      <c r="P14" s="155" t="str">
        <f t="array" ref="P14">sort(unique(M3:M120))</f>
        <v/>
      </c>
      <c r="Q14" s="156" t="str">
        <f t="shared" ref="Q14:Q24" si="11">if(P14="","", sumif(M$3:M120,P14,G$3:G120))</f>
        <v/>
      </c>
      <c r="R14" s="157" t="str">
        <f t="shared" ref="R14:R24" si="12">if(P14="","", countif(M$3:M120,P14))</f>
        <v/>
      </c>
      <c r="S14" s="158" t="str">
        <f t="shared" ref="S14:S24" si="13">if(P14="","", averageif(M$3:M120,P14,H$3:H120))</f>
        <v/>
      </c>
      <c r="T14" s="158" t="str">
        <f t="shared" ref="T14:T24" si="14">if(P14="","",Q14/sum($G$3:$G120))</f>
        <v/>
      </c>
      <c r="U14" s="147"/>
      <c r="V14" s="107" t="str">
        <f t="shared" si="5"/>
        <v/>
      </c>
      <c r="W14" s="107" t="str">
        <f t="shared" si="6"/>
        <v/>
      </c>
    </row>
    <row r="15" ht="18.0" customHeight="1">
      <c r="A15" s="93"/>
      <c r="B15" s="123" t="str">
        <f t="shared" si="7"/>
        <v/>
      </c>
      <c r="C15" s="110" t="str">
        <f t="shared" si="8"/>
        <v/>
      </c>
      <c r="D15" s="110" t="str">
        <f t="shared" si="9"/>
        <v/>
      </c>
      <c r="E15" s="124" t="str">
        <f t="shared" si="1"/>
        <v/>
      </c>
      <c r="F15" s="110" t="str">
        <f t="shared" si="2"/>
        <v/>
      </c>
      <c r="G15" s="137"/>
      <c r="H15" s="116" t="str">
        <f t="shared" si="3"/>
        <v/>
      </c>
      <c r="I15" s="126" t="str">
        <f t="shared" si="4"/>
        <v/>
      </c>
      <c r="J15" s="127" t="str">
        <f>if(B15&lt;&gt;"",J14*(1-Diretrizes!D$5),)</f>
        <v/>
      </c>
      <c r="K15" s="116"/>
      <c r="L15" s="185"/>
      <c r="M15" s="150"/>
      <c r="N15" s="118"/>
      <c r="O15" s="148" t="s">
        <v>47</v>
      </c>
      <c r="P15" s="155"/>
      <c r="Q15" s="156" t="str">
        <f t="shared" si="11"/>
        <v/>
      </c>
      <c r="R15" s="157" t="str">
        <f t="shared" si="12"/>
        <v/>
      </c>
      <c r="S15" s="158" t="str">
        <f t="shared" si="13"/>
        <v/>
      </c>
      <c r="T15" s="158" t="str">
        <f t="shared" si="14"/>
        <v/>
      </c>
      <c r="U15" s="147"/>
      <c r="V15" s="107" t="str">
        <f t="shared" si="5"/>
        <v/>
      </c>
      <c r="W15" s="107" t="str">
        <f t="shared" si="6"/>
        <v/>
      </c>
    </row>
    <row r="16" ht="18.0" customHeight="1">
      <c r="A16" s="93"/>
      <c r="B16" s="123" t="str">
        <f t="shared" si="7"/>
        <v/>
      </c>
      <c r="C16" s="110" t="str">
        <f t="shared" si="8"/>
        <v/>
      </c>
      <c r="D16" s="110" t="str">
        <f t="shared" si="9"/>
        <v/>
      </c>
      <c r="E16" s="124" t="str">
        <f t="shared" si="1"/>
        <v/>
      </c>
      <c r="F16" s="110" t="str">
        <f t="shared" si="2"/>
        <v/>
      </c>
      <c r="G16" s="137"/>
      <c r="H16" s="116" t="str">
        <f t="shared" si="3"/>
        <v/>
      </c>
      <c r="I16" s="126" t="str">
        <f t="shared" si="4"/>
        <v/>
      </c>
      <c r="J16" s="127" t="str">
        <f>if(B16&lt;&gt;"",J15*(1-Diretrizes!D$5),)</f>
        <v/>
      </c>
      <c r="K16" s="116"/>
      <c r="L16" s="185"/>
      <c r="M16" s="150"/>
      <c r="N16" s="118"/>
      <c r="O16" s="148" t="s">
        <v>47</v>
      </c>
      <c r="P16" s="155"/>
      <c r="Q16" s="156" t="str">
        <f t="shared" si="11"/>
        <v/>
      </c>
      <c r="R16" s="157" t="str">
        <f t="shared" si="12"/>
        <v/>
      </c>
      <c r="S16" s="158" t="str">
        <f t="shared" si="13"/>
        <v/>
      </c>
      <c r="T16" s="158" t="str">
        <f t="shared" si="14"/>
        <v/>
      </c>
      <c r="U16" s="147"/>
      <c r="V16" s="107" t="str">
        <f t="shared" si="5"/>
        <v/>
      </c>
      <c r="W16" s="107" t="str">
        <f t="shared" si="6"/>
        <v/>
      </c>
    </row>
    <row r="17" ht="18.0" customHeight="1">
      <c r="A17" s="93"/>
      <c r="B17" s="123" t="str">
        <f t="shared" si="7"/>
        <v/>
      </c>
      <c r="C17" s="110" t="str">
        <f t="shared" si="8"/>
        <v/>
      </c>
      <c r="D17" s="110" t="str">
        <f t="shared" si="9"/>
        <v/>
      </c>
      <c r="E17" s="124" t="str">
        <f t="shared" si="1"/>
        <v/>
      </c>
      <c r="F17" s="110" t="str">
        <f t="shared" si="2"/>
        <v/>
      </c>
      <c r="G17" s="137"/>
      <c r="H17" s="116" t="str">
        <f t="shared" si="3"/>
        <v/>
      </c>
      <c r="I17" s="126" t="str">
        <f t="shared" si="4"/>
        <v/>
      </c>
      <c r="J17" s="127" t="str">
        <f>if(B17&lt;&gt;"",J16*(1-Diretrizes!D$5),)</f>
        <v/>
      </c>
      <c r="K17" s="116"/>
      <c r="L17" s="185"/>
      <c r="M17" s="150"/>
      <c r="N17" s="118"/>
      <c r="O17" s="148" t="s">
        <v>47</v>
      </c>
      <c r="P17" s="155"/>
      <c r="Q17" s="156" t="str">
        <f t="shared" si="11"/>
        <v/>
      </c>
      <c r="R17" s="157" t="str">
        <f t="shared" si="12"/>
        <v/>
      </c>
      <c r="S17" s="158" t="str">
        <f t="shared" si="13"/>
        <v/>
      </c>
      <c r="T17" s="158" t="str">
        <f t="shared" si="14"/>
        <v/>
      </c>
      <c r="U17" s="147"/>
      <c r="V17" s="107" t="str">
        <f t="shared" si="5"/>
        <v/>
      </c>
      <c r="W17" s="107" t="str">
        <f t="shared" si="6"/>
        <v/>
      </c>
    </row>
    <row r="18" ht="18.0" customHeight="1">
      <c r="A18" s="93"/>
      <c r="B18" s="123" t="str">
        <f t="shared" si="7"/>
        <v/>
      </c>
      <c r="C18" s="110" t="str">
        <f t="shared" si="8"/>
        <v/>
      </c>
      <c r="D18" s="110" t="str">
        <f t="shared" si="9"/>
        <v/>
      </c>
      <c r="E18" s="124" t="str">
        <f t="shared" si="1"/>
        <v/>
      </c>
      <c r="F18" s="110" t="str">
        <f t="shared" si="2"/>
        <v/>
      </c>
      <c r="G18" s="137"/>
      <c r="H18" s="116" t="str">
        <f t="shared" si="3"/>
        <v/>
      </c>
      <c r="I18" s="126" t="str">
        <f t="shared" si="4"/>
        <v/>
      </c>
      <c r="J18" s="127" t="str">
        <f>if(B18&lt;&gt;"",J17*(1-Diretrizes!D$5),)</f>
        <v/>
      </c>
      <c r="K18" s="116"/>
      <c r="L18" s="185"/>
      <c r="M18" s="150"/>
      <c r="N18" s="118"/>
      <c r="O18" s="159" t="s">
        <v>47</v>
      </c>
      <c r="P18" s="155"/>
      <c r="Q18" s="156" t="str">
        <f t="shared" si="11"/>
        <v/>
      </c>
      <c r="R18" s="157" t="str">
        <f t="shared" si="12"/>
        <v/>
      </c>
      <c r="S18" s="158" t="str">
        <f t="shared" si="13"/>
        <v/>
      </c>
      <c r="T18" s="158" t="str">
        <f t="shared" si="14"/>
        <v/>
      </c>
      <c r="U18" s="160"/>
      <c r="V18" s="107" t="str">
        <f t="shared" si="5"/>
        <v/>
      </c>
      <c r="W18" s="107" t="str">
        <f t="shared" si="6"/>
        <v/>
      </c>
    </row>
    <row r="19" ht="18.0" customHeight="1">
      <c r="A19" s="93"/>
      <c r="B19" s="123" t="str">
        <f t="shared" si="7"/>
        <v/>
      </c>
      <c r="C19" s="110" t="str">
        <f t="shared" si="8"/>
        <v/>
      </c>
      <c r="D19" s="110" t="str">
        <f t="shared" si="9"/>
        <v/>
      </c>
      <c r="E19" s="124" t="str">
        <f t="shared" si="1"/>
        <v/>
      </c>
      <c r="F19" s="110" t="str">
        <f t="shared" si="2"/>
        <v/>
      </c>
      <c r="G19" s="137"/>
      <c r="H19" s="116" t="str">
        <f t="shared" si="3"/>
        <v/>
      </c>
      <c r="I19" s="126" t="str">
        <f t="shared" si="4"/>
        <v/>
      </c>
      <c r="J19" s="127" t="str">
        <f>if(B19&lt;&gt;"",J18*(1-Diretrizes!D$5),)</f>
        <v/>
      </c>
      <c r="K19" s="116"/>
      <c r="L19" s="185"/>
      <c r="M19" s="150"/>
      <c r="N19" s="118"/>
      <c r="O19" s="148" t="s">
        <v>47</v>
      </c>
      <c r="P19" s="155"/>
      <c r="Q19" s="156" t="str">
        <f t="shared" si="11"/>
        <v/>
      </c>
      <c r="R19" s="157" t="str">
        <f t="shared" si="12"/>
        <v/>
      </c>
      <c r="S19" s="158" t="str">
        <f t="shared" si="13"/>
        <v/>
      </c>
      <c r="T19" s="158" t="str">
        <f t="shared" si="14"/>
        <v/>
      </c>
      <c r="U19" s="147"/>
      <c r="V19" s="107" t="str">
        <f t="shared" si="5"/>
        <v/>
      </c>
      <c r="W19" s="107" t="str">
        <f t="shared" si="6"/>
        <v/>
      </c>
    </row>
    <row r="20" ht="18.0" customHeight="1">
      <c r="A20" s="93"/>
      <c r="B20" s="123" t="str">
        <f t="shared" si="7"/>
        <v/>
      </c>
      <c r="C20" s="110" t="str">
        <f t="shared" si="8"/>
        <v/>
      </c>
      <c r="D20" s="110" t="str">
        <f t="shared" si="9"/>
        <v/>
      </c>
      <c r="E20" s="124" t="str">
        <f t="shared" si="1"/>
        <v/>
      </c>
      <c r="F20" s="110" t="str">
        <f t="shared" si="2"/>
        <v/>
      </c>
      <c r="G20" s="137"/>
      <c r="H20" s="116" t="str">
        <f t="shared" si="3"/>
        <v/>
      </c>
      <c r="I20" s="126" t="str">
        <f t="shared" si="4"/>
        <v/>
      </c>
      <c r="J20" s="127" t="str">
        <f>if(B20&lt;&gt;"",J19*(1-Diretrizes!D$5),)</f>
        <v/>
      </c>
      <c r="K20" s="116"/>
      <c r="L20" s="185"/>
      <c r="M20" s="150"/>
      <c r="N20" s="118"/>
      <c r="O20" s="148" t="s">
        <v>47</v>
      </c>
      <c r="P20" s="155"/>
      <c r="Q20" s="156" t="str">
        <f t="shared" si="11"/>
        <v/>
      </c>
      <c r="R20" s="157" t="str">
        <f t="shared" si="12"/>
        <v/>
      </c>
      <c r="S20" s="158" t="str">
        <f t="shared" si="13"/>
        <v/>
      </c>
      <c r="T20" s="158" t="str">
        <f t="shared" si="14"/>
        <v/>
      </c>
      <c r="U20" s="147"/>
      <c r="V20" s="107" t="str">
        <f t="shared" si="5"/>
        <v/>
      </c>
      <c r="W20" s="107" t="str">
        <f t="shared" si="6"/>
        <v/>
      </c>
    </row>
    <row r="21" ht="18.0" customHeight="1">
      <c r="A21" s="93"/>
      <c r="B21" s="123" t="str">
        <f t="shared" si="7"/>
        <v/>
      </c>
      <c r="C21" s="110" t="str">
        <f t="shared" si="8"/>
        <v/>
      </c>
      <c r="D21" s="110" t="str">
        <f t="shared" si="9"/>
        <v/>
      </c>
      <c r="E21" s="124" t="str">
        <f t="shared" si="1"/>
        <v/>
      </c>
      <c r="F21" s="110" t="str">
        <f t="shared" si="2"/>
        <v/>
      </c>
      <c r="G21" s="137"/>
      <c r="H21" s="116" t="str">
        <f t="shared" si="3"/>
        <v/>
      </c>
      <c r="I21" s="126" t="str">
        <f t="shared" si="4"/>
        <v/>
      </c>
      <c r="J21" s="127" t="str">
        <f>if(B21&lt;&gt;"",J20*(1-Diretrizes!D$5),)</f>
        <v/>
      </c>
      <c r="K21" s="116"/>
      <c r="L21" s="185"/>
      <c r="M21" s="150"/>
      <c r="N21" s="118"/>
      <c r="O21" s="148" t="s">
        <v>47</v>
      </c>
      <c r="P21" s="155"/>
      <c r="Q21" s="156" t="str">
        <f t="shared" si="11"/>
        <v/>
      </c>
      <c r="R21" s="157" t="str">
        <f t="shared" si="12"/>
        <v/>
      </c>
      <c r="S21" s="158" t="str">
        <f t="shared" si="13"/>
        <v/>
      </c>
      <c r="T21" s="158" t="str">
        <f t="shared" si="14"/>
        <v/>
      </c>
      <c r="U21" s="147"/>
      <c r="V21" s="107" t="str">
        <f t="shared" si="5"/>
        <v/>
      </c>
      <c r="W21" s="107" t="str">
        <f t="shared" si="6"/>
        <v/>
      </c>
    </row>
    <row r="22" ht="18.0" customHeight="1">
      <c r="A22" s="93"/>
      <c r="B22" s="123" t="str">
        <f t="shared" si="7"/>
        <v/>
      </c>
      <c r="C22" s="110" t="str">
        <f t="shared" si="8"/>
        <v/>
      </c>
      <c r="D22" s="110" t="str">
        <f t="shared" si="9"/>
        <v/>
      </c>
      <c r="E22" s="124" t="str">
        <f t="shared" si="1"/>
        <v/>
      </c>
      <c r="F22" s="110" t="str">
        <f t="shared" si="2"/>
        <v/>
      </c>
      <c r="G22" s="137"/>
      <c r="H22" s="116" t="str">
        <f t="shared" si="3"/>
        <v/>
      </c>
      <c r="I22" s="126" t="str">
        <f t="shared" si="4"/>
        <v/>
      </c>
      <c r="J22" s="127" t="str">
        <f>if(B22&lt;&gt;"",J21*(1-Diretrizes!D$5),)</f>
        <v/>
      </c>
      <c r="K22" s="116"/>
      <c r="L22" s="185"/>
      <c r="M22" s="150"/>
      <c r="N22" s="118"/>
      <c r="O22" s="148" t="s">
        <v>47</v>
      </c>
      <c r="P22" s="155"/>
      <c r="Q22" s="156" t="str">
        <f t="shared" si="11"/>
        <v/>
      </c>
      <c r="R22" s="157" t="str">
        <f t="shared" si="12"/>
        <v/>
      </c>
      <c r="S22" s="158" t="str">
        <f t="shared" si="13"/>
        <v/>
      </c>
      <c r="T22" s="158" t="str">
        <f t="shared" si="14"/>
        <v/>
      </c>
      <c r="U22" s="147"/>
      <c r="V22" s="107" t="str">
        <f t="shared" si="5"/>
        <v/>
      </c>
      <c r="W22" s="107" t="str">
        <f t="shared" si="6"/>
        <v/>
      </c>
    </row>
    <row r="23" ht="18.0" customHeight="1">
      <c r="A23" s="93"/>
      <c r="B23" s="123" t="str">
        <f t="shared" si="7"/>
        <v/>
      </c>
      <c r="C23" s="110" t="str">
        <f t="shared" si="8"/>
        <v/>
      </c>
      <c r="D23" s="110" t="str">
        <f t="shared" si="9"/>
        <v/>
      </c>
      <c r="E23" s="124" t="str">
        <f t="shared" si="1"/>
        <v/>
      </c>
      <c r="F23" s="110" t="str">
        <f t="shared" si="2"/>
        <v/>
      </c>
      <c r="G23" s="137"/>
      <c r="H23" s="116" t="str">
        <f t="shared" si="3"/>
        <v/>
      </c>
      <c r="I23" s="126" t="str">
        <f t="shared" si="4"/>
        <v/>
      </c>
      <c r="J23" s="127" t="str">
        <f>if(B23&lt;&gt;"",J22*(1-Diretrizes!D$5),)</f>
        <v/>
      </c>
      <c r="K23" s="116"/>
      <c r="L23" s="185"/>
      <c r="M23" s="150"/>
      <c r="N23" s="118"/>
      <c r="O23" s="148" t="s">
        <v>47</v>
      </c>
      <c r="P23" s="155"/>
      <c r="Q23" s="156" t="str">
        <f t="shared" si="11"/>
        <v/>
      </c>
      <c r="R23" s="157" t="str">
        <f t="shared" si="12"/>
        <v/>
      </c>
      <c r="S23" s="158" t="str">
        <f t="shared" si="13"/>
        <v/>
      </c>
      <c r="T23" s="158" t="str">
        <f t="shared" si="14"/>
        <v/>
      </c>
      <c r="U23" s="147"/>
      <c r="V23" s="107" t="str">
        <f t="shared" si="5"/>
        <v/>
      </c>
      <c r="W23" s="107" t="str">
        <f t="shared" si="6"/>
        <v/>
      </c>
    </row>
    <row r="24" ht="18.0" customHeight="1">
      <c r="A24" s="93"/>
      <c r="B24" s="123" t="str">
        <f t="shared" si="7"/>
        <v/>
      </c>
      <c r="C24" s="110" t="str">
        <f t="shared" si="8"/>
        <v/>
      </c>
      <c r="D24" s="110" t="str">
        <f t="shared" si="9"/>
        <v/>
      </c>
      <c r="E24" s="124" t="str">
        <f t="shared" si="1"/>
        <v/>
      </c>
      <c r="F24" s="110" t="str">
        <f t="shared" si="2"/>
        <v/>
      </c>
      <c r="G24" s="137"/>
      <c r="H24" s="116" t="str">
        <f t="shared" si="3"/>
        <v/>
      </c>
      <c r="I24" s="126" t="str">
        <f t="shared" si="4"/>
        <v/>
      </c>
      <c r="J24" s="127" t="str">
        <f>if(B24&lt;&gt;"",J23*(1-Diretrizes!D$5),)</f>
        <v/>
      </c>
      <c r="K24" s="116"/>
      <c r="L24" s="185"/>
      <c r="M24" s="150"/>
      <c r="N24" s="118"/>
      <c r="O24" s="148"/>
      <c r="P24" s="161"/>
      <c r="Q24" s="161" t="str">
        <f t="shared" si="11"/>
        <v/>
      </c>
      <c r="R24" s="161" t="str">
        <f t="shared" si="12"/>
        <v/>
      </c>
      <c r="S24" s="161" t="str">
        <f t="shared" si="13"/>
        <v/>
      </c>
      <c r="T24" s="161" t="str">
        <f t="shared" si="14"/>
        <v/>
      </c>
      <c r="U24" s="147"/>
      <c r="V24" s="107" t="str">
        <f t="shared" si="5"/>
        <v/>
      </c>
      <c r="W24" s="107" t="str">
        <f t="shared" si="6"/>
        <v/>
      </c>
    </row>
    <row r="25" ht="18.0" customHeight="1">
      <c r="A25" s="93"/>
      <c r="B25" s="123" t="str">
        <f t="shared" si="7"/>
        <v/>
      </c>
      <c r="C25" s="110" t="str">
        <f t="shared" si="8"/>
        <v/>
      </c>
      <c r="D25" s="110" t="str">
        <f t="shared" si="9"/>
        <v/>
      </c>
      <c r="E25" s="124" t="str">
        <f t="shared" si="1"/>
        <v/>
      </c>
      <c r="F25" s="110" t="str">
        <f t="shared" si="2"/>
        <v/>
      </c>
      <c r="G25" s="137"/>
      <c r="H25" s="116" t="str">
        <f t="shared" si="3"/>
        <v/>
      </c>
      <c r="I25" s="126" t="str">
        <f t="shared" si="4"/>
        <v/>
      </c>
      <c r="J25" s="127" t="str">
        <f>if(B25&lt;&gt;"",J24*(1-Diretrizes!D$5),)</f>
        <v/>
      </c>
      <c r="K25" s="116"/>
      <c r="L25" s="185"/>
      <c r="M25" s="150"/>
      <c r="N25" s="118"/>
      <c r="O25" s="148"/>
      <c r="P25" s="149" t="s">
        <v>56</v>
      </c>
      <c r="Q25" s="147"/>
      <c r="R25" s="93"/>
      <c r="S25" s="93"/>
      <c r="T25" s="147"/>
      <c r="U25" s="147"/>
      <c r="V25" s="107" t="str">
        <f t="shared" si="5"/>
        <v/>
      </c>
      <c r="W25" s="107" t="str">
        <f t="shared" si="6"/>
        <v/>
      </c>
    </row>
    <row r="26" ht="18.0" customHeight="1">
      <c r="A26" s="93"/>
      <c r="B26" s="123" t="str">
        <f t="shared" si="7"/>
        <v/>
      </c>
      <c r="C26" s="110" t="str">
        <f t="shared" si="8"/>
        <v/>
      </c>
      <c r="D26" s="110" t="str">
        <f t="shared" si="9"/>
        <v/>
      </c>
      <c r="E26" s="124" t="str">
        <f t="shared" si="1"/>
        <v/>
      </c>
      <c r="F26" s="110" t="str">
        <f t="shared" si="2"/>
        <v/>
      </c>
      <c r="G26" s="137"/>
      <c r="H26" s="116" t="str">
        <f t="shared" si="3"/>
        <v/>
      </c>
      <c r="I26" s="126" t="str">
        <f t="shared" si="4"/>
        <v/>
      </c>
      <c r="J26" s="127" t="str">
        <f>if(B26&lt;&gt;"",J25*(1-Diretrizes!D$5),)</f>
        <v/>
      </c>
      <c r="K26" s="116"/>
      <c r="L26" s="185"/>
      <c r="M26" s="150"/>
      <c r="N26" s="118"/>
      <c r="O26" s="148"/>
      <c r="P26" s="152" t="s">
        <v>24</v>
      </c>
      <c r="Q26" s="153" t="s">
        <v>26</v>
      </c>
      <c r="R26" s="153" t="s">
        <v>55</v>
      </c>
      <c r="S26" s="153" t="s">
        <v>27</v>
      </c>
      <c r="T26" s="154" t="s">
        <v>28</v>
      </c>
      <c r="U26" s="147"/>
      <c r="V26" s="107" t="str">
        <f t="shared" si="5"/>
        <v/>
      </c>
      <c r="W26" s="107" t="str">
        <f t="shared" si="6"/>
        <v/>
      </c>
    </row>
    <row r="27" ht="18.0" customHeight="1">
      <c r="A27" s="93"/>
      <c r="B27" s="123" t="str">
        <f t="shared" si="7"/>
        <v/>
      </c>
      <c r="C27" s="110" t="str">
        <f t="shared" si="8"/>
        <v/>
      </c>
      <c r="D27" s="110" t="str">
        <f t="shared" si="9"/>
        <v/>
      </c>
      <c r="E27" s="124" t="str">
        <f t="shared" si="1"/>
        <v/>
      </c>
      <c r="F27" s="110" t="str">
        <f t="shared" si="2"/>
        <v/>
      </c>
      <c r="G27" s="137"/>
      <c r="H27" s="116" t="str">
        <f t="shared" si="3"/>
        <v/>
      </c>
      <c r="I27" s="126" t="str">
        <f t="shared" si="4"/>
        <v/>
      </c>
      <c r="J27" s="127" t="str">
        <f>if(B27&lt;&gt;"",J26*(1-Diretrizes!D$5),)</f>
        <v/>
      </c>
      <c r="K27" s="116"/>
      <c r="L27" s="185"/>
      <c r="M27" s="150"/>
      <c r="N27" s="118"/>
      <c r="O27" s="148"/>
      <c r="P27" s="155" t="str">
        <f t="array" ref="P27">sort(unique(N3:N120))</f>
        <v/>
      </c>
      <c r="Q27" s="156" t="str">
        <f t="shared" ref="Q27:Q37" si="15">if(P27="","", sumif(N$3:N120,P27,G$3:G120))</f>
        <v/>
      </c>
      <c r="R27" s="157" t="str">
        <f t="shared" ref="R27:R37" si="16">if(P27="","", countif(N$3:N120,P27))</f>
        <v/>
      </c>
      <c r="S27" s="158" t="str">
        <f t="shared" ref="S27:S37" si="17">if(P27="","", averageif(N$3:N120,P27,H$3:H120))</f>
        <v/>
      </c>
      <c r="T27" s="158" t="str">
        <f t="shared" ref="T27:T37" si="18">if(P27="","",Q27/sum($G$3:$G120))</f>
        <v/>
      </c>
      <c r="U27" s="147"/>
      <c r="V27" s="107" t="str">
        <f t="shared" si="5"/>
        <v/>
      </c>
      <c r="W27" s="107" t="str">
        <f t="shared" si="6"/>
        <v/>
      </c>
    </row>
    <row r="28" ht="18.0" customHeight="1">
      <c r="A28" s="93"/>
      <c r="B28" s="123" t="str">
        <f t="shared" si="7"/>
        <v/>
      </c>
      <c r="C28" s="110" t="str">
        <f t="shared" si="8"/>
        <v/>
      </c>
      <c r="D28" s="110" t="str">
        <f t="shared" si="9"/>
        <v/>
      </c>
      <c r="E28" s="124" t="str">
        <f t="shared" si="1"/>
        <v/>
      </c>
      <c r="F28" s="110" t="str">
        <f t="shared" si="2"/>
        <v/>
      </c>
      <c r="G28" s="137"/>
      <c r="H28" s="116" t="str">
        <f t="shared" si="3"/>
        <v/>
      </c>
      <c r="I28" s="126" t="str">
        <f t="shared" si="4"/>
        <v/>
      </c>
      <c r="J28" s="127" t="str">
        <f>if(B28&lt;&gt;"",J27*(1-Diretrizes!D$5),)</f>
        <v/>
      </c>
      <c r="K28" s="116"/>
      <c r="L28" s="185"/>
      <c r="M28" s="150"/>
      <c r="N28" s="118"/>
      <c r="O28" s="148"/>
      <c r="P28" s="155"/>
      <c r="Q28" s="156" t="str">
        <f t="shared" si="15"/>
        <v/>
      </c>
      <c r="R28" s="157" t="str">
        <f t="shared" si="16"/>
        <v/>
      </c>
      <c r="S28" s="158" t="str">
        <f t="shared" si="17"/>
        <v/>
      </c>
      <c r="T28" s="158" t="str">
        <f t="shared" si="18"/>
        <v/>
      </c>
      <c r="U28" s="147"/>
      <c r="V28" s="107" t="str">
        <f t="shared" si="5"/>
        <v/>
      </c>
      <c r="W28" s="107" t="str">
        <f t="shared" si="6"/>
        <v/>
      </c>
    </row>
    <row r="29" ht="18.0" customHeight="1">
      <c r="A29" s="93"/>
      <c r="B29" s="123" t="str">
        <f t="shared" si="7"/>
        <v/>
      </c>
      <c r="C29" s="110" t="str">
        <f t="shared" si="8"/>
        <v/>
      </c>
      <c r="D29" s="110" t="str">
        <f t="shared" si="9"/>
        <v/>
      </c>
      <c r="E29" s="124" t="str">
        <f t="shared" si="1"/>
        <v/>
      </c>
      <c r="F29" s="110" t="str">
        <f t="shared" si="2"/>
        <v/>
      </c>
      <c r="G29" s="137"/>
      <c r="H29" s="116" t="str">
        <f t="shared" si="3"/>
        <v/>
      </c>
      <c r="I29" s="126" t="str">
        <f t="shared" si="4"/>
        <v/>
      </c>
      <c r="J29" s="127" t="str">
        <f>if(B29&lt;&gt;"",J28*(1-Diretrizes!D$5),)</f>
        <v/>
      </c>
      <c r="K29" s="116"/>
      <c r="L29" s="185"/>
      <c r="M29" s="150"/>
      <c r="N29" s="118"/>
      <c r="O29" s="148"/>
      <c r="P29" s="155"/>
      <c r="Q29" s="156" t="str">
        <f t="shared" si="15"/>
        <v/>
      </c>
      <c r="R29" s="157" t="str">
        <f t="shared" si="16"/>
        <v/>
      </c>
      <c r="S29" s="158" t="str">
        <f t="shared" si="17"/>
        <v/>
      </c>
      <c r="T29" s="158" t="str">
        <f t="shared" si="18"/>
        <v/>
      </c>
      <c r="U29" s="147"/>
      <c r="V29" s="107" t="str">
        <f t="shared" si="5"/>
        <v/>
      </c>
      <c r="W29" s="107" t="str">
        <f t="shared" si="6"/>
        <v/>
      </c>
    </row>
    <row r="30" ht="18.0" customHeight="1">
      <c r="A30" s="93"/>
      <c r="B30" s="123" t="str">
        <f t="shared" si="7"/>
        <v/>
      </c>
      <c r="C30" s="110" t="str">
        <f t="shared" si="8"/>
        <v/>
      </c>
      <c r="D30" s="110" t="str">
        <f t="shared" si="9"/>
        <v/>
      </c>
      <c r="E30" s="124" t="str">
        <f t="shared" si="1"/>
        <v/>
      </c>
      <c r="F30" s="110" t="str">
        <f t="shared" si="2"/>
        <v/>
      </c>
      <c r="G30" s="137"/>
      <c r="H30" s="116" t="str">
        <f t="shared" si="3"/>
        <v/>
      </c>
      <c r="I30" s="126" t="str">
        <f t="shared" si="4"/>
        <v/>
      </c>
      <c r="J30" s="127" t="str">
        <f>if(B30&lt;&gt;"",J29*(1-Diretrizes!D$5),)</f>
        <v/>
      </c>
      <c r="K30" s="116"/>
      <c r="L30" s="185"/>
      <c r="M30" s="150"/>
      <c r="N30" s="118"/>
      <c r="O30" s="148"/>
      <c r="P30" s="155"/>
      <c r="Q30" s="156" t="str">
        <f t="shared" si="15"/>
        <v/>
      </c>
      <c r="R30" s="157" t="str">
        <f t="shared" si="16"/>
        <v/>
      </c>
      <c r="S30" s="158" t="str">
        <f t="shared" si="17"/>
        <v/>
      </c>
      <c r="T30" s="158" t="str">
        <f t="shared" si="18"/>
        <v/>
      </c>
      <c r="U30" s="147"/>
      <c r="V30" s="107" t="str">
        <f t="shared" si="5"/>
        <v/>
      </c>
      <c r="W30" s="107" t="str">
        <f t="shared" si="6"/>
        <v/>
      </c>
    </row>
    <row r="31" ht="18.0" customHeight="1">
      <c r="A31" s="93"/>
      <c r="B31" s="123" t="str">
        <f t="shared" si="7"/>
        <v/>
      </c>
      <c r="C31" s="110" t="str">
        <f t="shared" si="8"/>
        <v/>
      </c>
      <c r="D31" s="110" t="str">
        <f t="shared" si="9"/>
        <v/>
      </c>
      <c r="E31" s="124" t="str">
        <f t="shared" si="1"/>
        <v/>
      </c>
      <c r="F31" s="110" t="str">
        <f t="shared" si="2"/>
        <v/>
      </c>
      <c r="G31" s="137"/>
      <c r="H31" s="116" t="str">
        <f t="shared" si="3"/>
        <v/>
      </c>
      <c r="I31" s="126" t="str">
        <f t="shared" si="4"/>
        <v/>
      </c>
      <c r="J31" s="127" t="str">
        <f>if(B31&lt;&gt;"",J30*(1-Diretrizes!D$5),)</f>
        <v/>
      </c>
      <c r="K31" s="116"/>
      <c r="L31" s="185"/>
      <c r="M31" s="150"/>
      <c r="N31" s="118"/>
      <c r="O31" s="148"/>
      <c r="P31" s="155"/>
      <c r="Q31" s="156" t="str">
        <f t="shared" si="15"/>
        <v/>
      </c>
      <c r="R31" s="157" t="str">
        <f t="shared" si="16"/>
        <v/>
      </c>
      <c r="S31" s="158" t="str">
        <f t="shared" si="17"/>
        <v/>
      </c>
      <c r="T31" s="158" t="str">
        <f t="shared" si="18"/>
        <v/>
      </c>
      <c r="U31" s="147"/>
      <c r="V31" s="107" t="str">
        <f t="shared" si="5"/>
        <v/>
      </c>
      <c r="W31" s="107" t="str">
        <f t="shared" si="6"/>
        <v/>
      </c>
    </row>
    <row r="32" ht="18.0" customHeight="1">
      <c r="A32" s="93"/>
      <c r="B32" s="123" t="str">
        <f t="shared" si="7"/>
        <v/>
      </c>
      <c r="C32" s="110" t="str">
        <f t="shared" si="8"/>
        <v/>
      </c>
      <c r="D32" s="110" t="str">
        <f t="shared" si="9"/>
        <v/>
      </c>
      <c r="E32" s="124" t="str">
        <f t="shared" si="1"/>
        <v/>
      </c>
      <c r="F32" s="110" t="str">
        <f t="shared" si="2"/>
        <v/>
      </c>
      <c r="G32" s="137"/>
      <c r="H32" s="116" t="str">
        <f t="shared" si="3"/>
        <v/>
      </c>
      <c r="I32" s="126" t="str">
        <f t="shared" si="4"/>
        <v/>
      </c>
      <c r="J32" s="127" t="str">
        <f>if(B32&lt;&gt;"",J31*(1-Diretrizes!D$5),)</f>
        <v/>
      </c>
      <c r="K32" s="116"/>
      <c r="L32" s="185"/>
      <c r="M32" s="150"/>
      <c r="N32" s="118"/>
      <c r="O32" s="148"/>
      <c r="P32" s="155"/>
      <c r="Q32" s="156" t="str">
        <f t="shared" si="15"/>
        <v/>
      </c>
      <c r="R32" s="157" t="str">
        <f t="shared" si="16"/>
        <v/>
      </c>
      <c r="S32" s="158" t="str">
        <f t="shared" si="17"/>
        <v/>
      </c>
      <c r="T32" s="158" t="str">
        <f t="shared" si="18"/>
        <v/>
      </c>
      <c r="U32" s="147"/>
      <c r="V32" s="107" t="str">
        <f t="shared" si="5"/>
        <v/>
      </c>
      <c r="W32" s="107" t="str">
        <f t="shared" si="6"/>
        <v/>
      </c>
    </row>
    <row r="33" ht="18.0" customHeight="1">
      <c r="A33" s="93"/>
      <c r="B33" s="123"/>
      <c r="C33" s="110" t="str">
        <f t="shared" si="8"/>
        <v/>
      </c>
      <c r="D33" s="110" t="str">
        <f t="shared" si="9"/>
        <v/>
      </c>
      <c r="E33" s="124"/>
      <c r="F33" s="110"/>
      <c r="G33" s="137"/>
      <c r="H33" s="116"/>
      <c r="I33" s="126"/>
      <c r="J33" s="127"/>
      <c r="K33" s="116"/>
      <c r="L33" s="129"/>
      <c r="M33" s="162"/>
      <c r="N33" s="163"/>
      <c r="O33" s="148"/>
      <c r="P33" s="155"/>
      <c r="Q33" s="156" t="str">
        <f t="shared" si="15"/>
        <v/>
      </c>
      <c r="R33" s="157" t="str">
        <f t="shared" si="16"/>
        <v/>
      </c>
      <c r="S33" s="158" t="str">
        <f t="shared" si="17"/>
        <v/>
      </c>
      <c r="T33" s="158" t="str">
        <f t="shared" si="18"/>
        <v/>
      </c>
      <c r="U33" s="147"/>
      <c r="V33" s="107" t="str">
        <f t="shared" si="5"/>
        <v/>
      </c>
      <c r="W33" s="107" t="str">
        <f t="shared" si="6"/>
        <v/>
      </c>
    </row>
    <row r="34" ht="18.75" customHeight="1">
      <c r="A34" s="93"/>
      <c r="B34" s="123"/>
      <c r="C34" s="110"/>
      <c r="D34" s="110"/>
      <c r="E34" s="124"/>
      <c r="F34" s="110"/>
      <c r="G34" s="137"/>
      <c r="H34" s="116"/>
      <c r="I34" s="126"/>
      <c r="J34" s="127"/>
      <c r="K34" s="116"/>
      <c r="L34" s="129"/>
      <c r="M34" s="162"/>
      <c r="N34" s="163"/>
      <c r="O34" s="148"/>
      <c r="P34" s="155"/>
      <c r="Q34" s="156" t="str">
        <f t="shared" si="15"/>
        <v/>
      </c>
      <c r="R34" s="157" t="str">
        <f t="shared" si="16"/>
        <v/>
      </c>
      <c r="S34" s="158" t="str">
        <f t="shared" si="17"/>
        <v/>
      </c>
      <c r="T34" s="158" t="str">
        <f t="shared" si="18"/>
        <v/>
      </c>
      <c r="U34" s="147"/>
      <c r="V34" s="107" t="str">
        <f t="shared" si="5"/>
        <v/>
      </c>
      <c r="W34" s="107" t="str">
        <f t="shared" si="6"/>
        <v/>
      </c>
    </row>
    <row r="35" ht="18.75" customHeight="1">
      <c r="A35" s="93"/>
      <c r="B35" s="123"/>
      <c r="C35" s="110"/>
      <c r="D35" s="110"/>
      <c r="E35" s="124"/>
      <c r="F35" s="110"/>
      <c r="G35" s="137"/>
      <c r="H35" s="116"/>
      <c r="I35" s="126"/>
      <c r="J35" s="127"/>
      <c r="K35" s="116"/>
      <c r="L35" s="129"/>
      <c r="M35" s="162"/>
      <c r="N35" s="163"/>
      <c r="O35" s="148"/>
      <c r="P35" s="155"/>
      <c r="Q35" s="156" t="str">
        <f t="shared" si="15"/>
        <v/>
      </c>
      <c r="R35" s="157" t="str">
        <f t="shared" si="16"/>
        <v/>
      </c>
      <c r="S35" s="158" t="str">
        <f t="shared" si="17"/>
        <v/>
      </c>
      <c r="T35" s="158" t="str">
        <f t="shared" si="18"/>
        <v/>
      </c>
      <c r="U35" s="147"/>
      <c r="V35" s="107" t="str">
        <f t="shared" si="5"/>
        <v/>
      </c>
      <c r="W35" s="107" t="str">
        <f t="shared" si="6"/>
        <v/>
      </c>
    </row>
    <row r="36" ht="18.75" customHeight="1">
      <c r="A36" s="93"/>
      <c r="B36" s="123"/>
      <c r="C36" s="110"/>
      <c r="D36" s="110"/>
      <c r="E36" s="124"/>
      <c r="F36" s="110"/>
      <c r="G36" s="137"/>
      <c r="H36" s="116"/>
      <c r="I36" s="126"/>
      <c r="J36" s="127"/>
      <c r="K36" s="116"/>
      <c r="L36" s="129"/>
      <c r="M36" s="162"/>
      <c r="N36" s="163"/>
      <c r="O36" s="148"/>
      <c r="P36" s="155"/>
      <c r="Q36" s="156" t="str">
        <f t="shared" si="15"/>
        <v/>
      </c>
      <c r="R36" s="157" t="str">
        <f t="shared" si="16"/>
        <v/>
      </c>
      <c r="S36" s="158" t="str">
        <f t="shared" si="17"/>
        <v/>
      </c>
      <c r="T36" s="158" t="str">
        <f t="shared" si="18"/>
        <v/>
      </c>
      <c r="U36" s="147"/>
      <c r="V36" s="107" t="str">
        <f t="shared" si="5"/>
        <v/>
      </c>
      <c r="W36" s="107" t="str">
        <f t="shared" si="6"/>
        <v/>
      </c>
    </row>
    <row r="37" ht="18.75" customHeight="1">
      <c r="A37" s="93"/>
      <c r="B37" s="123"/>
      <c r="C37" s="110"/>
      <c r="D37" s="110"/>
      <c r="E37" s="124"/>
      <c r="F37" s="110"/>
      <c r="G37" s="137"/>
      <c r="H37" s="116"/>
      <c r="I37" s="126"/>
      <c r="J37" s="127"/>
      <c r="K37" s="116"/>
      <c r="L37" s="129"/>
      <c r="M37" s="162"/>
      <c r="N37" s="163"/>
      <c r="O37" s="148"/>
      <c r="P37" s="161"/>
      <c r="Q37" s="161" t="str">
        <f t="shared" si="15"/>
        <v/>
      </c>
      <c r="R37" s="161" t="str">
        <f t="shared" si="16"/>
        <v/>
      </c>
      <c r="S37" s="161" t="str">
        <f t="shared" si="17"/>
        <v/>
      </c>
      <c r="T37" s="161" t="str">
        <f t="shared" si="18"/>
        <v/>
      </c>
      <c r="U37" s="147"/>
      <c r="V37" s="107" t="str">
        <f t="shared" si="5"/>
        <v/>
      </c>
      <c r="W37" s="107" t="str">
        <f t="shared" si="6"/>
        <v/>
      </c>
    </row>
    <row r="38" ht="18.75" customHeight="1">
      <c r="A38" s="93"/>
      <c r="B38" s="123"/>
      <c r="C38" s="110"/>
      <c r="D38" s="110"/>
      <c r="E38" s="124"/>
      <c r="F38" s="110"/>
      <c r="G38" s="137"/>
      <c r="H38" s="116"/>
      <c r="I38" s="126"/>
      <c r="J38" s="127"/>
      <c r="K38" s="116"/>
      <c r="L38" s="129"/>
      <c r="M38" s="162"/>
      <c r="N38" s="163"/>
      <c r="O38" s="148"/>
      <c r="P38" s="149" t="s">
        <v>57</v>
      </c>
      <c r="Q38" s="147"/>
      <c r="R38" s="93"/>
      <c r="S38" s="93"/>
      <c r="T38" s="147"/>
      <c r="U38" s="147"/>
      <c r="V38" s="107" t="str">
        <f t="shared" si="5"/>
        <v/>
      </c>
      <c r="W38" s="107" t="str">
        <f t="shared" si="6"/>
        <v/>
      </c>
    </row>
    <row r="39" ht="18.75" customHeight="1">
      <c r="A39" s="93"/>
      <c r="B39" s="123"/>
      <c r="C39" s="110"/>
      <c r="D39" s="110"/>
      <c r="E39" s="124"/>
      <c r="F39" s="110"/>
      <c r="G39" s="137"/>
      <c r="H39" s="116"/>
      <c r="I39" s="126"/>
      <c r="J39" s="127"/>
      <c r="K39" s="116"/>
      <c r="L39" s="129"/>
      <c r="M39" s="162"/>
      <c r="N39" s="163"/>
      <c r="O39" s="148"/>
      <c r="P39" s="152" t="s">
        <v>58</v>
      </c>
      <c r="Q39" s="153" t="s">
        <v>26</v>
      </c>
      <c r="R39" s="153" t="s">
        <v>55</v>
      </c>
      <c r="S39" s="153" t="s">
        <v>27</v>
      </c>
      <c r="T39" s="154" t="s">
        <v>28</v>
      </c>
      <c r="U39" s="147"/>
      <c r="V39" s="107" t="str">
        <f t="shared" si="5"/>
        <v/>
      </c>
      <c r="W39" s="107" t="str">
        <f t="shared" si="6"/>
        <v/>
      </c>
    </row>
    <row r="40" ht="18.75" customHeight="1">
      <c r="A40" s="93"/>
      <c r="B40" s="123"/>
      <c r="C40" s="110"/>
      <c r="D40" s="110"/>
      <c r="E40" s="124"/>
      <c r="F40" s="110"/>
      <c r="G40" s="137"/>
      <c r="H40" s="116"/>
      <c r="I40" s="126"/>
      <c r="J40" s="127"/>
      <c r="K40" s="116"/>
      <c r="L40" s="129"/>
      <c r="M40" s="162"/>
      <c r="N40" s="163"/>
      <c r="O40" s="148"/>
      <c r="P40" s="164" t="str">
        <f t="array" ref="P40:P41">sort(UNIQUE({V3:V120;W3:W120}))</f>
        <v/>
      </c>
      <c r="Q40" s="156"/>
      <c r="R40" s="157"/>
      <c r="S40" s="158"/>
      <c r="T40" s="158"/>
      <c r="U40" s="147"/>
      <c r="V40" s="107" t="str">
        <f t="shared" si="5"/>
        <v/>
      </c>
      <c r="W40" s="107" t="str">
        <f t="shared" si="6"/>
        <v/>
      </c>
    </row>
    <row r="41" ht="18.75" customHeight="1">
      <c r="A41" s="93"/>
      <c r="B41" s="123"/>
      <c r="C41" s="110"/>
      <c r="D41" s="110"/>
      <c r="E41" s="124"/>
      <c r="F41" s="110"/>
      <c r="G41" s="137"/>
      <c r="H41" s="116"/>
      <c r="I41" s="126"/>
      <c r="J41" s="127"/>
      <c r="K41" s="116"/>
      <c r="L41" s="129"/>
      <c r="M41" s="162"/>
      <c r="N41" s="163"/>
      <c r="O41" s="148"/>
      <c r="P41" s="164"/>
      <c r="Q41" s="156" t="str">
        <f t="shared" ref="Q41:Q76" si="19">if(P41="","", sumif(V$3:V120,P41,G$3:G120)+sumif(W$3:W120,P41,G$3:G120))</f>
        <v/>
      </c>
      <c r="R41" s="157" t="str">
        <f t="shared" ref="R41:R98" si="20">if(P41="","", countif(V$3:W120,P41))</f>
        <v/>
      </c>
      <c r="S41" s="158" t="str">
        <f t="shared" ref="S41:S98" si="21">if(P41="","", iferror(averageif(V$3:V120,P41,H$3:H120),0)+iferror(averageif(W$3:W120,P41,H$3:H120),0))</f>
        <v/>
      </c>
      <c r="T41" s="158" t="str">
        <f t="shared" ref="T41:T98" si="22">if(P41="","",Q41/sum($Q$41:$Q$138))</f>
        <v/>
      </c>
      <c r="U41" s="147"/>
      <c r="V41" s="107" t="str">
        <f t="shared" si="5"/>
        <v/>
      </c>
      <c r="W41" s="107" t="str">
        <f t="shared" si="6"/>
        <v/>
      </c>
    </row>
    <row r="42" ht="18.75" customHeight="1">
      <c r="A42" s="93"/>
      <c r="B42" s="123"/>
      <c r="C42" s="110"/>
      <c r="D42" s="110"/>
      <c r="E42" s="124"/>
      <c r="F42" s="110"/>
      <c r="G42" s="137"/>
      <c r="H42" s="116"/>
      <c r="I42" s="126"/>
      <c r="J42" s="127"/>
      <c r="K42" s="116"/>
      <c r="L42" s="129"/>
      <c r="M42" s="162"/>
      <c r="N42" s="163"/>
      <c r="O42" s="145"/>
      <c r="P42" s="155"/>
      <c r="Q42" s="156" t="str">
        <f t="shared" si="19"/>
        <v/>
      </c>
      <c r="R42" s="157" t="str">
        <f t="shared" si="20"/>
        <v/>
      </c>
      <c r="S42" s="158" t="str">
        <f t="shared" si="21"/>
        <v/>
      </c>
      <c r="T42" s="158" t="str">
        <f t="shared" si="22"/>
        <v/>
      </c>
      <c r="U42" s="93"/>
      <c r="V42" s="107" t="str">
        <f t="shared" si="5"/>
        <v/>
      </c>
      <c r="W42" s="107" t="str">
        <f t="shared" si="6"/>
        <v/>
      </c>
    </row>
    <row r="43" ht="18.75" customHeight="1">
      <c r="A43" s="93"/>
      <c r="B43" s="123"/>
      <c r="C43" s="110"/>
      <c r="D43" s="110"/>
      <c r="E43" s="124"/>
      <c r="F43" s="110"/>
      <c r="G43" s="137"/>
      <c r="H43" s="116"/>
      <c r="I43" s="126"/>
      <c r="J43" s="127"/>
      <c r="K43" s="116"/>
      <c r="L43" s="129"/>
      <c r="M43" s="162"/>
      <c r="N43" s="163"/>
      <c r="O43" s="145"/>
      <c r="P43" s="155"/>
      <c r="Q43" s="156" t="str">
        <f t="shared" si="19"/>
        <v/>
      </c>
      <c r="R43" s="157" t="str">
        <f t="shared" si="20"/>
        <v/>
      </c>
      <c r="S43" s="158" t="str">
        <f t="shared" si="21"/>
        <v/>
      </c>
      <c r="T43" s="158" t="str">
        <f t="shared" si="22"/>
        <v/>
      </c>
      <c r="U43" s="93"/>
      <c r="V43" s="107" t="str">
        <f t="shared" si="5"/>
        <v/>
      </c>
      <c r="W43" s="107" t="str">
        <f t="shared" si="6"/>
        <v/>
      </c>
    </row>
    <row r="44" ht="18.75" customHeight="1">
      <c r="A44" s="93"/>
      <c r="B44" s="123"/>
      <c r="C44" s="110"/>
      <c r="D44" s="110"/>
      <c r="E44" s="124"/>
      <c r="F44" s="110"/>
      <c r="G44" s="137"/>
      <c r="H44" s="116"/>
      <c r="I44" s="126"/>
      <c r="J44" s="127"/>
      <c r="K44" s="116"/>
      <c r="L44" s="129"/>
      <c r="M44" s="162"/>
      <c r="N44" s="163"/>
      <c r="O44" s="145"/>
      <c r="P44" s="155"/>
      <c r="Q44" s="156" t="str">
        <f t="shared" si="19"/>
        <v/>
      </c>
      <c r="R44" s="157" t="str">
        <f t="shared" si="20"/>
        <v/>
      </c>
      <c r="S44" s="158" t="str">
        <f t="shared" si="21"/>
        <v/>
      </c>
      <c r="T44" s="158" t="str">
        <f t="shared" si="22"/>
        <v/>
      </c>
      <c r="U44" s="93"/>
      <c r="V44" s="107" t="str">
        <f t="shared" si="5"/>
        <v/>
      </c>
      <c r="W44" s="107" t="str">
        <f t="shared" si="6"/>
        <v/>
      </c>
    </row>
    <row r="45" ht="18.75" customHeight="1">
      <c r="A45" s="93"/>
      <c r="B45" s="123"/>
      <c r="C45" s="110"/>
      <c r="D45" s="110"/>
      <c r="E45" s="124"/>
      <c r="F45" s="110"/>
      <c r="G45" s="137"/>
      <c r="H45" s="116"/>
      <c r="I45" s="126"/>
      <c r="J45" s="127"/>
      <c r="K45" s="116"/>
      <c r="L45" s="129"/>
      <c r="M45" s="162"/>
      <c r="N45" s="165"/>
      <c r="O45" s="93"/>
      <c r="P45" s="155"/>
      <c r="Q45" s="156" t="str">
        <f t="shared" si="19"/>
        <v/>
      </c>
      <c r="R45" s="157" t="str">
        <f t="shared" si="20"/>
        <v/>
      </c>
      <c r="S45" s="158" t="str">
        <f t="shared" si="21"/>
        <v/>
      </c>
      <c r="T45" s="158" t="str">
        <f t="shared" si="22"/>
        <v/>
      </c>
      <c r="U45" s="93"/>
      <c r="V45" s="107" t="str">
        <f t="shared" si="5"/>
        <v/>
      </c>
      <c r="W45" s="107" t="str">
        <f t="shared" si="6"/>
        <v/>
      </c>
    </row>
    <row r="46" ht="18.75" customHeight="1">
      <c r="A46" s="93"/>
      <c r="B46" s="123"/>
      <c r="C46" s="110"/>
      <c r="D46" s="110"/>
      <c r="E46" s="124"/>
      <c r="F46" s="110"/>
      <c r="G46" s="137"/>
      <c r="H46" s="116"/>
      <c r="I46" s="126"/>
      <c r="J46" s="127"/>
      <c r="K46" s="116"/>
      <c r="L46" s="129"/>
      <c r="M46" s="162"/>
      <c r="N46" s="165"/>
      <c r="O46" s="93"/>
      <c r="P46" s="155"/>
      <c r="Q46" s="156" t="str">
        <f t="shared" si="19"/>
        <v/>
      </c>
      <c r="R46" s="157" t="str">
        <f t="shared" si="20"/>
        <v/>
      </c>
      <c r="S46" s="158" t="str">
        <f t="shared" si="21"/>
        <v/>
      </c>
      <c r="T46" s="158" t="str">
        <f t="shared" si="22"/>
        <v/>
      </c>
      <c r="U46" s="93"/>
      <c r="V46" s="107" t="str">
        <f t="shared" si="5"/>
        <v/>
      </c>
      <c r="W46" s="107" t="str">
        <f t="shared" si="6"/>
        <v/>
      </c>
    </row>
    <row r="47" ht="18.75" customHeight="1">
      <c r="A47" s="93"/>
      <c r="B47" s="123"/>
      <c r="C47" s="110"/>
      <c r="D47" s="110"/>
      <c r="E47" s="124"/>
      <c r="F47" s="110"/>
      <c r="G47" s="137"/>
      <c r="H47" s="116"/>
      <c r="I47" s="126"/>
      <c r="J47" s="127"/>
      <c r="K47" s="116"/>
      <c r="L47" s="129"/>
      <c r="M47" s="162"/>
      <c r="N47" s="165"/>
      <c r="O47" s="93"/>
      <c r="P47" s="155"/>
      <c r="Q47" s="156" t="str">
        <f t="shared" si="19"/>
        <v/>
      </c>
      <c r="R47" s="157" t="str">
        <f t="shared" si="20"/>
        <v/>
      </c>
      <c r="S47" s="158" t="str">
        <f t="shared" si="21"/>
        <v/>
      </c>
      <c r="T47" s="158" t="str">
        <f t="shared" si="22"/>
        <v/>
      </c>
      <c r="U47" s="93"/>
      <c r="V47" s="107" t="str">
        <f t="shared" si="5"/>
        <v/>
      </c>
      <c r="W47" s="107" t="str">
        <f t="shared" si="6"/>
        <v/>
      </c>
    </row>
    <row r="48" ht="18.75" customHeight="1">
      <c r="A48" s="93"/>
      <c r="B48" s="123"/>
      <c r="C48" s="110"/>
      <c r="D48" s="110"/>
      <c r="E48" s="124"/>
      <c r="F48" s="110"/>
      <c r="G48" s="137"/>
      <c r="H48" s="116"/>
      <c r="I48" s="126"/>
      <c r="J48" s="127"/>
      <c r="K48" s="116"/>
      <c r="L48" s="129"/>
      <c r="M48" s="162"/>
      <c r="N48" s="165"/>
      <c r="O48" s="93"/>
      <c r="P48" s="155"/>
      <c r="Q48" s="156" t="str">
        <f t="shared" si="19"/>
        <v/>
      </c>
      <c r="R48" s="157" t="str">
        <f t="shared" si="20"/>
        <v/>
      </c>
      <c r="S48" s="158" t="str">
        <f t="shared" si="21"/>
        <v/>
      </c>
      <c r="T48" s="158" t="str">
        <f t="shared" si="22"/>
        <v/>
      </c>
      <c r="U48" s="93"/>
      <c r="V48" s="107" t="str">
        <f t="shared" si="5"/>
        <v/>
      </c>
      <c r="W48" s="107" t="str">
        <f t="shared" si="6"/>
        <v/>
      </c>
    </row>
    <row r="49" ht="18.75" customHeight="1">
      <c r="A49" s="93"/>
      <c r="B49" s="123"/>
      <c r="C49" s="110"/>
      <c r="D49" s="110"/>
      <c r="E49" s="124"/>
      <c r="F49" s="110"/>
      <c r="G49" s="137"/>
      <c r="H49" s="116"/>
      <c r="I49" s="126"/>
      <c r="J49" s="127"/>
      <c r="K49" s="116"/>
      <c r="L49" s="129"/>
      <c r="M49" s="162"/>
      <c r="N49" s="165"/>
      <c r="O49" s="93"/>
      <c r="P49" s="155"/>
      <c r="Q49" s="156" t="str">
        <f t="shared" si="19"/>
        <v/>
      </c>
      <c r="R49" s="157" t="str">
        <f t="shared" si="20"/>
        <v/>
      </c>
      <c r="S49" s="158" t="str">
        <f t="shared" si="21"/>
        <v/>
      </c>
      <c r="T49" s="158" t="str">
        <f t="shared" si="22"/>
        <v/>
      </c>
      <c r="U49" s="93"/>
      <c r="V49" s="107" t="str">
        <f t="shared" si="5"/>
        <v/>
      </c>
      <c r="W49" s="107" t="str">
        <f t="shared" si="6"/>
        <v/>
      </c>
    </row>
    <row r="50" ht="18.75" customHeight="1">
      <c r="A50" s="93"/>
      <c r="B50" s="123"/>
      <c r="C50" s="110"/>
      <c r="D50" s="110"/>
      <c r="E50" s="124"/>
      <c r="F50" s="110"/>
      <c r="G50" s="137"/>
      <c r="H50" s="116"/>
      <c r="I50" s="126"/>
      <c r="J50" s="127"/>
      <c r="K50" s="116"/>
      <c r="L50" s="129"/>
      <c r="M50" s="162"/>
      <c r="N50" s="165"/>
      <c r="O50" s="93"/>
      <c r="P50" s="155"/>
      <c r="Q50" s="156" t="str">
        <f t="shared" si="19"/>
        <v/>
      </c>
      <c r="R50" s="157" t="str">
        <f t="shared" si="20"/>
        <v/>
      </c>
      <c r="S50" s="158" t="str">
        <f t="shared" si="21"/>
        <v/>
      </c>
      <c r="T50" s="158" t="str">
        <f t="shared" si="22"/>
        <v/>
      </c>
      <c r="U50" s="93"/>
      <c r="V50" s="107" t="str">
        <f t="shared" si="5"/>
        <v/>
      </c>
      <c r="W50" s="107" t="str">
        <f t="shared" si="6"/>
        <v/>
      </c>
    </row>
    <row r="51" ht="18.75" customHeight="1">
      <c r="A51" s="93"/>
      <c r="B51" s="123"/>
      <c r="C51" s="110"/>
      <c r="D51" s="110"/>
      <c r="E51" s="124"/>
      <c r="F51" s="110"/>
      <c r="G51" s="137"/>
      <c r="H51" s="116"/>
      <c r="I51" s="126"/>
      <c r="J51" s="127"/>
      <c r="K51" s="116"/>
      <c r="L51" s="129"/>
      <c r="M51" s="162"/>
      <c r="N51" s="165"/>
      <c r="O51" s="93"/>
      <c r="P51" s="155"/>
      <c r="Q51" s="156" t="str">
        <f t="shared" si="19"/>
        <v/>
      </c>
      <c r="R51" s="157" t="str">
        <f t="shared" si="20"/>
        <v/>
      </c>
      <c r="S51" s="158" t="str">
        <f t="shared" si="21"/>
        <v/>
      </c>
      <c r="T51" s="158" t="str">
        <f t="shared" si="22"/>
        <v/>
      </c>
      <c r="U51" s="93"/>
      <c r="V51" s="107" t="str">
        <f t="shared" si="5"/>
        <v/>
      </c>
      <c r="W51" s="107" t="str">
        <f t="shared" si="6"/>
        <v/>
      </c>
    </row>
    <row r="52" ht="18.75" customHeight="1">
      <c r="A52" s="93"/>
      <c r="B52" s="123"/>
      <c r="C52" s="110"/>
      <c r="D52" s="110"/>
      <c r="E52" s="124"/>
      <c r="F52" s="110"/>
      <c r="G52" s="137"/>
      <c r="H52" s="116"/>
      <c r="I52" s="126"/>
      <c r="J52" s="127"/>
      <c r="K52" s="116"/>
      <c r="L52" s="129"/>
      <c r="M52" s="162"/>
      <c r="N52" s="165"/>
      <c r="O52" s="93"/>
      <c r="P52" s="155"/>
      <c r="Q52" s="156" t="str">
        <f t="shared" si="19"/>
        <v/>
      </c>
      <c r="R52" s="157" t="str">
        <f t="shared" si="20"/>
        <v/>
      </c>
      <c r="S52" s="158" t="str">
        <f t="shared" si="21"/>
        <v/>
      </c>
      <c r="T52" s="158" t="str">
        <f t="shared" si="22"/>
        <v/>
      </c>
      <c r="U52" s="93"/>
      <c r="V52" s="107" t="str">
        <f t="shared" si="5"/>
        <v/>
      </c>
      <c r="W52" s="107" t="str">
        <f t="shared" si="6"/>
        <v/>
      </c>
    </row>
    <row r="53" ht="18.75" customHeight="1">
      <c r="A53" s="93"/>
      <c r="B53" s="123"/>
      <c r="C53" s="110"/>
      <c r="D53" s="110"/>
      <c r="E53" s="124"/>
      <c r="F53" s="110"/>
      <c r="G53" s="137"/>
      <c r="H53" s="116"/>
      <c r="I53" s="126"/>
      <c r="J53" s="127"/>
      <c r="K53" s="116"/>
      <c r="L53" s="129"/>
      <c r="M53" s="162"/>
      <c r="N53" s="165"/>
      <c r="O53" s="93"/>
      <c r="P53" s="155"/>
      <c r="Q53" s="156" t="str">
        <f t="shared" si="19"/>
        <v/>
      </c>
      <c r="R53" s="157" t="str">
        <f t="shared" si="20"/>
        <v/>
      </c>
      <c r="S53" s="158" t="str">
        <f t="shared" si="21"/>
        <v/>
      </c>
      <c r="T53" s="158" t="str">
        <f t="shared" si="22"/>
        <v/>
      </c>
      <c r="U53" s="93"/>
      <c r="V53" s="107" t="str">
        <f t="shared" si="5"/>
        <v/>
      </c>
      <c r="W53" s="107" t="str">
        <f t="shared" si="6"/>
        <v/>
      </c>
    </row>
    <row r="54" ht="18.75" customHeight="1">
      <c r="A54" s="93"/>
      <c r="B54" s="123"/>
      <c r="C54" s="110"/>
      <c r="D54" s="110"/>
      <c r="E54" s="124"/>
      <c r="F54" s="110"/>
      <c r="G54" s="137"/>
      <c r="H54" s="116"/>
      <c r="I54" s="126"/>
      <c r="J54" s="127"/>
      <c r="K54" s="116"/>
      <c r="L54" s="129"/>
      <c r="M54" s="162"/>
      <c r="N54" s="165"/>
      <c r="O54" s="93"/>
      <c r="P54" s="155"/>
      <c r="Q54" s="156" t="str">
        <f t="shared" si="19"/>
        <v/>
      </c>
      <c r="R54" s="157" t="str">
        <f t="shared" si="20"/>
        <v/>
      </c>
      <c r="S54" s="158" t="str">
        <f t="shared" si="21"/>
        <v/>
      </c>
      <c r="T54" s="158" t="str">
        <f t="shared" si="22"/>
        <v/>
      </c>
      <c r="U54" s="93"/>
      <c r="V54" s="107" t="str">
        <f t="shared" si="5"/>
        <v/>
      </c>
      <c r="W54" s="107" t="str">
        <f t="shared" si="6"/>
        <v/>
      </c>
    </row>
    <row r="55" ht="18.75" customHeight="1">
      <c r="A55" s="93"/>
      <c r="B55" s="123"/>
      <c r="C55" s="110"/>
      <c r="D55" s="110"/>
      <c r="E55" s="124"/>
      <c r="F55" s="110"/>
      <c r="G55" s="137"/>
      <c r="H55" s="116"/>
      <c r="I55" s="126"/>
      <c r="J55" s="127"/>
      <c r="K55" s="116"/>
      <c r="L55" s="129"/>
      <c r="M55" s="162"/>
      <c r="N55" s="165"/>
      <c r="O55" s="93"/>
      <c r="P55" s="155"/>
      <c r="Q55" s="156" t="str">
        <f t="shared" si="19"/>
        <v/>
      </c>
      <c r="R55" s="157" t="str">
        <f t="shared" si="20"/>
        <v/>
      </c>
      <c r="S55" s="158" t="str">
        <f t="shared" si="21"/>
        <v/>
      </c>
      <c r="T55" s="158" t="str">
        <f t="shared" si="22"/>
        <v/>
      </c>
      <c r="U55" s="93"/>
      <c r="V55" s="107" t="str">
        <f t="shared" si="5"/>
        <v/>
      </c>
      <c r="W55" s="107" t="str">
        <f t="shared" si="6"/>
        <v/>
      </c>
    </row>
    <row r="56" ht="18.75" customHeight="1">
      <c r="A56" s="93"/>
      <c r="B56" s="93"/>
      <c r="C56" s="166"/>
      <c r="D56" s="166"/>
      <c r="E56" s="167"/>
      <c r="F56" s="166"/>
      <c r="G56" s="168"/>
      <c r="H56" s="169"/>
      <c r="I56" s="170"/>
      <c r="J56" s="171"/>
      <c r="K56" s="169"/>
      <c r="L56" s="172"/>
      <c r="M56" s="173"/>
      <c r="N56" s="174"/>
      <c r="O56" s="93"/>
      <c r="P56" s="155"/>
      <c r="Q56" s="156" t="str">
        <f t="shared" si="19"/>
        <v/>
      </c>
      <c r="R56" s="157" t="str">
        <f t="shared" si="20"/>
        <v/>
      </c>
      <c r="S56" s="158" t="str">
        <f t="shared" si="21"/>
        <v/>
      </c>
      <c r="T56" s="158" t="str">
        <f t="shared" si="22"/>
        <v/>
      </c>
      <c r="U56" s="93"/>
      <c r="V56" s="107" t="str">
        <f t="shared" si="5"/>
        <v/>
      </c>
      <c r="W56" s="107" t="str">
        <f t="shared" si="6"/>
        <v/>
      </c>
    </row>
    <row r="57" ht="18.75" customHeight="1">
      <c r="A57" s="93"/>
      <c r="B57" s="93"/>
      <c r="C57" s="166"/>
      <c r="D57" s="166"/>
      <c r="E57" s="167"/>
      <c r="F57" s="166"/>
      <c r="G57" s="168"/>
      <c r="H57" s="169"/>
      <c r="I57" s="170"/>
      <c r="J57" s="171"/>
      <c r="K57" s="169"/>
      <c r="L57" s="175"/>
      <c r="M57" s="176"/>
      <c r="N57" s="174"/>
      <c r="O57" s="93"/>
      <c r="P57" s="155"/>
      <c r="Q57" s="156" t="str">
        <f t="shared" si="19"/>
        <v/>
      </c>
      <c r="R57" s="157" t="str">
        <f t="shared" si="20"/>
        <v/>
      </c>
      <c r="S57" s="158" t="str">
        <f t="shared" si="21"/>
        <v/>
      </c>
      <c r="T57" s="158" t="str">
        <f t="shared" si="22"/>
        <v/>
      </c>
      <c r="U57" s="93"/>
      <c r="V57" s="107" t="str">
        <f t="shared" si="5"/>
        <v/>
      </c>
      <c r="W57" s="107" t="str">
        <f t="shared" si="6"/>
        <v/>
      </c>
    </row>
    <row r="58" ht="18.75" customHeight="1">
      <c r="A58" s="93"/>
      <c r="B58" s="93"/>
      <c r="C58" s="166"/>
      <c r="D58" s="166"/>
      <c r="E58" s="166"/>
      <c r="F58" s="166"/>
      <c r="G58" s="177"/>
      <c r="H58" s="178"/>
      <c r="I58" s="170"/>
      <c r="J58" s="169"/>
      <c r="K58" s="169"/>
      <c r="L58" s="179"/>
      <c r="M58" s="180"/>
      <c r="N58" s="181"/>
      <c r="O58" s="93"/>
      <c r="P58" s="155"/>
      <c r="Q58" s="156" t="str">
        <f t="shared" si="19"/>
        <v/>
      </c>
      <c r="R58" s="157" t="str">
        <f t="shared" si="20"/>
        <v/>
      </c>
      <c r="S58" s="158" t="str">
        <f t="shared" si="21"/>
        <v/>
      </c>
      <c r="T58" s="158" t="str">
        <f t="shared" si="22"/>
        <v/>
      </c>
      <c r="U58" s="93"/>
      <c r="V58" s="107" t="str">
        <f t="shared" si="5"/>
        <v/>
      </c>
      <c r="W58" s="107" t="str">
        <f t="shared" si="6"/>
        <v/>
      </c>
    </row>
    <row r="59" ht="18.75" customHeight="1">
      <c r="A59" s="93"/>
      <c r="B59" s="93"/>
      <c r="C59" s="166"/>
      <c r="D59" s="166"/>
      <c r="E59" s="166"/>
      <c r="F59" s="166"/>
      <c r="G59" s="177"/>
      <c r="H59" s="182"/>
      <c r="I59" s="170"/>
      <c r="J59" s="169"/>
      <c r="K59" s="169"/>
      <c r="L59" s="183"/>
      <c r="M59" s="180"/>
      <c r="N59" s="181"/>
      <c r="O59" s="93"/>
      <c r="P59" s="93"/>
      <c r="Q59" s="93" t="str">
        <f t="shared" si="19"/>
        <v/>
      </c>
      <c r="R59" s="93" t="str">
        <f t="shared" si="20"/>
        <v/>
      </c>
      <c r="S59" s="93" t="str">
        <f t="shared" si="21"/>
        <v/>
      </c>
      <c r="T59" s="93" t="str">
        <f t="shared" si="22"/>
        <v/>
      </c>
      <c r="U59" s="93"/>
      <c r="V59" s="107" t="str">
        <f t="shared" si="5"/>
        <v/>
      </c>
      <c r="W59" s="107" t="str">
        <f t="shared" si="6"/>
        <v/>
      </c>
    </row>
    <row r="60" ht="18.75" customHeight="1">
      <c r="A60" s="93"/>
      <c r="B60" s="93"/>
      <c r="C60" s="166"/>
      <c r="D60" s="166"/>
      <c r="E60" s="166"/>
      <c r="F60" s="166"/>
      <c r="G60" s="177"/>
      <c r="H60" s="182"/>
      <c r="I60" s="170"/>
      <c r="J60" s="169"/>
      <c r="K60" s="169"/>
      <c r="L60" s="183"/>
      <c r="M60" s="180"/>
      <c r="N60" s="181"/>
      <c r="O60" s="93"/>
      <c r="P60" s="93"/>
      <c r="Q60" s="93" t="str">
        <f t="shared" si="19"/>
        <v/>
      </c>
      <c r="R60" s="93" t="str">
        <f t="shared" si="20"/>
        <v/>
      </c>
      <c r="S60" s="93" t="str">
        <f t="shared" si="21"/>
        <v/>
      </c>
      <c r="T60" s="93" t="str">
        <f t="shared" si="22"/>
        <v/>
      </c>
      <c r="U60" s="93"/>
      <c r="V60" s="107" t="str">
        <f t="shared" si="5"/>
        <v/>
      </c>
      <c r="W60" s="107" t="str">
        <f t="shared" si="6"/>
        <v/>
      </c>
    </row>
    <row r="61" ht="18.75" customHeight="1">
      <c r="A61" s="93"/>
      <c r="B61" s="93"/>
      <c r="C61" s="166"/>
      <c r="D61" s="166"/>
      <c r="E61" s="166"/>
      <c r="F61" s="166"/>
      <c r="G61" s="177"/>
      <c r="H61" s="182"/>
      <c r="I61" s="170"/>
      <c r="J61" s="169"/>
      <c r="K61" s="169"/>
      <c r="L61" s="183"/>
      <c r="M61" s="180"/>
      <c r="N61" s="181"/>
      <c r="O61" s="93"/>
      <c r="P61" s="93"/>
      <c r="Q61" s="93" t="str">
        <f t="shared" si="19"/>
        <v/>
      </c>
      <c r="R61" s="93" t="str">
        <f t="shared" si="20"/>
        <v/>
      </c>
      <c r="S61" s="93" t="str">
        <f t="shared" si="21"/>
        <v/>
      </c>
      <c r="T61" s="93" t="str">
        <f t="shared" si="22"/>
        <v/>
      </c>
      <c r="U61" s="93"/>
      <c r="V61" s="107" t="str">
        <f t="shared" si="5"/>
        <v/>
      </c>
      <c r="W61" s="107" t="str">
        <f t="shared" si="6"/>
        <v/>
      </c>
    </row>
    <row r="62" ht="18.75" customHeight="1">
      <c r="A62" s="93"/>
      <c r="B62" s="93"/>
      <c r="C62" s="166"/>
      <c r="D62" s="166"/>
      <c r="E62" s="166"/>
      <c r="F62" s="166"/>
      <c r="G62" s="177"/>
      <c r="H62" s="182"/>
      <c r="I62" s="170"/>
      <c r="J62" s="169"/>
      <c r="K62" s="169"/>
      <c r="L62" s="183"/>
      <c r="M62" s="180"/>
      <c r="N62" s="181"/>
      <c r="O62" s="93"/>
      <c r="P62" s="93"/>
      <c r="Q62" s="93" t="str">
        <f t="shared" si="19"/>
        <v/>
      </c>
      <c r="R62" s="93" t="str">
        <f t="shared" si="20"/>
        <v/>
      </c>
      <c r="S62" s="93" t="str">
        <f t="shared" si="21"/>
        <v/>
      </c>
      <c r="T62" s="93" t="str">
        <f t="shared" si="22"/>
        <v/>
      </c>
      <c r="U62" s="93"/>
      <c r="V62" s="107" t="str">
        <f t="shared" si="5"/>
        <v/>
      </c>
      <c r="W62" s="107" t="str">
        <f t="shared" si="6"/>
        <v/>
      </c>
    </row>
    <row r="63" ht="18.75" customHeight="1">
      <c r="A63" s="93"/>
      <c r="B63" s="93"/>
      <c r="C63" s="166"/>
      <c r="D63" s="166"/>
      <c r="E63" s="166"/>
      <c r="F63" s="166"/>
      <c r="G63" s="177"/>
      <c r="H63" s="182"/>
      <c r="I63" s="170"/>
      <c r="J63" s="169"/>
      <c r="K63" s="169"/>
      <c r="L63" s="183"/>
      <c r="M63" s="180"/>
      <c r="N63" s="181"/>
      <c r="O63" s="93"/>
      <c r="P63" s="93"/>
      <c r="Q63" s="93" t="str">
        <f t="shared" si="19"/>
        <v/>
      </c>
      <c r="R63" s="93" t="str">
        <f t="shared" si="20"/>
        <v/>
      </c>
      <c r="S63" s="93" t="str">
        <f t="shared" si="21"/>
        <v/>
      </c>
      <c r="T63" s="93" t="str">
        <f t="shared" si="22"/>
        <v/>
      </c>
      <c r="U63" s="93"/>
      <c r="V63" s="107" t="str">
        <f t="shared" si="5"/>
        <v/>
      </c>
      <c r="W63" s="107" t="str">
        <f t="shared" si="6"/>
        <v/>
      </c>
    </row>
    <row r="64" ht="18.75" customHeight="1">
      <c r="A64" s="93"/>
      <c r="B64" s="93"/>
      <c r="C64" s="166"/>
      <c r="D64" s="166"/>
      <c r="E64" s="166"/>
      <c r="F64" s="166"/>
      <c r="G64" s="177"/>
      <c r="H64" s="182"/>
      <c r="I64" s="170"/>
      <c r="J64" s="169"/>
      <c r="K64" s="169"/>
      <c r="L64" s="183"/>
      <c r="M64" s="180"/>
      <c r="N64" s="181"/>
      <c r="O64" s="93"/>
      <c r="P64" s="93"/>
      <c r="Q64" s="93" t="str">
        <f t="shared" si="19"/>
        <v/>
      </c>
      <c r="R64" s="93" t="str">
        <f t="shared" si="20"/>
        <v/>
      </c>
      <c r="S64" s="93" t="str">
        <f t="shared" si="21"/>
        <v/>
      </c>
      <c r="T64" s="93" t="str">
        <f t="shared" si="22"/>
        <v/>
      </c>
      <c r="U64" s="93"/>
      <c r="V64" s="107" t="str">
        <f t="shared" si="5"/>
        <v/>
      </c>
      <c r="W64" s="107" t="str">
        <f t="shared" si="6"/>
        <v/>
      </c>
    </row>
    <row r="65" ht="18.75" customHeight="1">
      <c r="A65" s="93"/>
      <c r="B65" s="93"/>
      <c r="C65" s="166"/>
      <c r="D65" s="166"/>
      <c r="E65" s="166"/>
      <c r="F65" s="166"/>
      <c r="G65" s="177"/>
      <c r="H65" s="182"/>
      <c r="I65" s="170"/>
      <c r="J65" s="169"/>
      <c r="K65" s="169"/>
      <c r="L65" s="183"/>
      <c r="M65" s="180"/>
      <c r="N65" s="181"/>
      <c r="O65" s="93"/>
      <c r="P65" s="93"/>
      <c r="Q65" s="93" t="str">
        <f t="shared" si="19"/>
        <v/>
      </c>
      <c r="R65" s="93" t="str">
        <f t="shared" si="20"/>
        <v/>
      </c>
      <c r="S65" s="93" t="str">
        <f t="shared" si="21"/>
        <v/>
      </c>
      <c r="T65" s="93" t="str">
        <f t="shared" si="22"/>
        <v/>
      </c>
      <c r="U65" s="93"/>
      <c r="V65" s="107" t="str">
        <f t="shared" si="5"/>
        <v/>
      </c>
      <c r="W65" s="107" t="str">
        <f t="shared" si="6"/>
        <v/>
      </c>
    </row>
    <row r="66" ht="18.75" customHeight="1">
      <c r="A66" s="93"/>
      <c r="B66" s="93"/>
      <c r="C66" s="166"/>
      <c r="D66" s="166"/>
      <c r="E66" s="166"/>
      <c r="F66" s="166"/>
      <c r="G66" s="177"/>
      <c r="H66" s="182"/>
      <c r="I66" s="170"/>
      <c r="J66" s="169"/>
      <c r="K66" s="169"/>
      <c r="L66" s="183"/>
      <c r="M66" s="180"/>
      <c r="N66" s="181"/>
      <c r="O66" s="93"/>
      <c r="P66" s="93"/>
      <c r="Q66" s="93" t="str">
        <f t="shared" si="19"/>
        <v/>
      </c>
      <c r="R66" s="93" t="str">
        <f t="shared" si="20"/>
        <v/>
      </c>
      <c r="S66" s="93" t="str">
        <f t="shared" si="21"/>
        <v/>
      </c>
      <c r="T66" s="93" t="str">
        <f t="shared" si="22"/>
        <v/>
      </c>
      <c r="U66" s="93"/>
      <c r="V66" s="107" t="str">
        <f t="shared" si="5"/>
        <v/>
      </c>
      <c r="W66" s="107" t="str">
        <f t="shared" si="6"/>
        <v/>
      </c>
    </row>
    <row r="67" ht="18.75" customHeight="1">
      <c r="A67" s="93"/>
      <c r="B67" s="93"/>
      <c r="C67" s="166"/>
      <c r="D67" s="166"/>
      <c r="E67" s="166"/>
      <c r="F67" s="166"/>
      <c r="G67" s="177"/>
      <c r="H67" s="182"/>
      <c r="I67" s="170"/>
      <c r="J67" s="169"/>
      <c r="K67" s="169"/>
      <c r="L67" s="183"/>
      <c r="M67" s="180"/>
      <c r="N67" s="181"/>
      <c r="O67" s="93"/>
      <c r="P67" s="93"/>
      <c r="Q67" s="93" t="str">
        <f t="shared" si="19"/>
        <v/>
      </c>
      <c r="R67" s="93" t="str">
        <f t="shared" si="20"/>
        <v/>
      </c>
      <c r="S67" s="93" t="str">
        <f t="shared" si="21"/>
        <v/>
      </c>
      <c r="T67" s="93" t="str">
        <f t="shared" si="22"/>
        <v/>
      </c>
      <c r="U67" s="93"/>
      <c r="V67" s="107" t="str">
        <f t="shared" si="5"/>
        <v/>
      </c>
      <c r="W67" s="107" t="str">
        <f t="shared" si="6"/>
        <v/>
      </c>
    </row>
    <row r="68" ht="18.75" customHeight="1">
      <c r="A68" s="93"/>
      <c r="B68" s="93"/>
      <c r="C68" s="166"/>
      <c r="D68" s="166"/>
      <c r="E68" s="166"/>
      <c r="F68" s="166"/>
      <c r="G68" s="177"/>
      <c r="H68" s="182"/>
      <c r="I68" s="170"/>
      <c r="J68" s="169"/>
      <c r="K68" s="169"/>
      <c r="L68" s="183"/>
      <c r="M68" s="180"/>
      <c r="N68" s="181"/>
      <c r="O68" s="93"/>
      <c r="P68" s="93"/>
      <c r="Q68" s="93" t="str">
        <f t="shared" si="19"/>
        <v/>
      </c>
      <c r="R68" s="93" t="str">
        <f t="shared" si="20"/>
        <v/>
      </c>
      <c r="S68" s="93" t="str">
        <f t="shared" si="21"/>
        <v/>
      </c>
      <c r="T68" s="93" t="str">
        <f t="shared" si="22"/>
        <v/>
      </c>
      <c r="U68" s="93"/>
      <c r="V68" s="107" t="str">
        <f t="shared" si="5"/>
        <v/>
      </c>
      <c r="W68" s="107" t="str">
        <f t="shared" si="6"/>
        <v/>
      </c>
    </row>
    <row r="69" ht="18.75" customHeight="1">
      <c r="A69" s="93"/>
      <c r="B69" s="93"/>
      <c r="C69" s="166"/>
      <c r="D69" s="166"/>
      <c r="E69" s="166"/>
      <c r="F69" s="166"/>
      <c r="G69" s="177"/>
      <c r="H69" s="182"/>
      <c r="I69" s="170"/>
      <c r="J69" s="169"/>
      <c r="K69" s="169"/>
      <c r="L69" s="183"/>
      <c r="M69" s="180"/>
      <c r="N69" s="181"/>
      <c r="O69" s="93"/>
      <c r="P69" s="93"/>
      <c r="Q69" s="93" t="str">
        <f t="shared" si="19"/>
        <v/>
      </c>
      <c r="R69" s="93" t="str">
        <f t="shared" si="20"/>
        <v/>
      </c>
      <c r="S69" s="93" t="str">
        <f t="shared" si="21"/>
        <v/>
      </c>
      <c r="T69" s="93" t="str">
        <f t="shared" si="22"/>
        <v/>
      </c>
      <c r="U69" s="93"/>
      <c r="V69" s="107" t="str">
        <f t="shared" si="5"/>
        <v/>
      </c>
      <c r="W69" s="107" t="str">
        <f t="shared" si="6"/>
        <v/>
      </c>
    </row>
    <row r="70" ht="18.75" customHeight="1">
      <c r="A70" s="93"/>
      <c r="B70" s="93"/>
      <c r="C70" s="166"/>
      <c r="D70" s="166"/>
      <c r="E70" s="166"/>
      <c r="F70" s="166"/>
      <c r="G70" s="177"/>
      <c r="H70" s="182"/>
      <c r="I70" s="170"/>
      <c r="J70" s="169"/>
      <c r="K70" s="169"/>
      <c r="L70" s="183"/>
      <c r="M70" s="180"/>
      <c r="N70" s="181"/>
      <c r="O70" s="93"/>
      <c r="P70" s="93"/>
      <c r="Q70" s="93" t="str">
        <f t="shared" si="19"/>
        <v/>
      </c>
      <c r="R70" s="93" t="str">
        <f t="shared" si="20"/>
        <v/>
      </c>
      <c r="S70" s="93" t="str">
        <f t="shared" si="21"/>
        <v/>
      </c>
      <c r="T70" s="93" t="str">
        <f t="shared" si="22"/>
        <v/>
      </c>
      <c r="U70" s="93"/>
      <c r="V70" s="107" t="str">
        <f t="shared" si="5"/>
        <v/>
      </c>
      <c r="W70" s="107" t="str">
        <f t="shared" si="6"/>
        <v/>
      </c>
    </row>
    <row r="71" ht="18.75" customHeight="1">
      <c r="A71" s="93"/>
      <c r="B71" s="93"/>
      <c r="C71" s="166"/>
      <c r="D71" s="166"/>
      <c r="E71" s="166"/>
      <c r="F71" s="166"/>
      <c r="G71" s="177"/>
      <c r="H71" s="182"/>
      <c r="I71" s="170"/>
      <c r="J71" s="169"/>
      <c r="K71" s="169"/>
      <c r="L71" s="183"/>
      <c r="M71" s="180"/>
      <c r="N71" s="181"/>
      <c r="O71" s="93"/>
      <c r="P71" s="93"/>
      <c r="Q71" s="93" t="str">
        <f t="shared" si="19"/>
        <v/>
      </c>
      <c r="R71" s="93" t="str">
        <f t="shared" si="20"/>
        <v/>
      </c>
      <c r="S71" s="93" t="str">
        <f t="shared" si="21"/>
        <v/>
      </c>
      <c r="T71" s="93" t="str">
        <f t="shared" si="22"/>
        <v/>
      </c>
      <c r="U71" s="93"/>
      <c r="V71" s="107" t="str">
        <f t="shared" si="5"/>
        <v/>
      </c>
      <c r="W71" s="107" t="str">
        <f t="shared" si="6"/>
        <v/>
      </c>
    </row>
    <row r="72" ht="18.75" customHeight="1">
      <c r="A72" s="93"/>
      <c r="B72" s="93"/>
      <c r="C72" s="166"/>
      <c r="D72" s="166"/>
      <c r="E72" s="166"/>
      <c r="F72" s="166"/>
      <c r="G72" s="177"/>
      <c r="H72" s="182"/>
      <c r="I72" s="170"/>
      <c r="J72" s="169"/>
      <c r="K72" s="169"/>
      <c r="L72" s="183"/>
      <c r="M72" s="180"/>
      <c r="N72" s="181"/>
      <c r="O72" s="93"/>
      <c r="P72" s="93"/>
      <c r="Q72" s="93" t="str">
        <f t="shared" si="19"/>
        <v/>
      </c>
      <c r="R72" s="93" t="str">
        <f t="shared" si="20"/>
        <v/>
      </c>
      <c r="S72" s="93" t="str">
        <f t="shared" si="21"/>
        <v/>
      </c>
      <c r="T72" s="93" t="str">
        <f t="shared" si="22"/>
        <v/>
      </c>
      <c r="U72" s="93"/>
      <c r="V72" s="107" t="str">
        <f t="shared" si="5"/>
        <v/>
      </c>
      <c r="W72" s="107" t="str">
        <f t="shared" si="6"/>
        <v/>
      </c>
    </row>
    <row r="73" ht="18.75" customHeight="1">
      <c r="A73" s="93"/>
      <c r="B73" s="93"/>
      <c r="C73" s="166"/>
      <c r="D73" s="166"/>
      <c r="E73" s="166"/>
      <c r="F73" s="166"/>
      <c r="G73" s="177"/>
      <c r="H73" s="182"/>
      <c r="I73" s="170"/>
      <c r="J73" s="169"/>
      <c r="K73" s="169"/>
      <c r="L73" s="183"/>
      <c r="M73" s="180"/>
      <c r="N73" s="181"/>
      <c r="O73" s="93"/>
      <c r="P73" s="93"/>
      <c r="Q73" s="93" t="str">
        <f t="shared" si="19"/>
        <v/>
      </c>
      <c r="R73" s="93" t="str">
        <f t="shared" si="20"/>
        <v/>
      </c>
      <c r="S73" s="93" t="str">
        <f t="shared" si="21"/>
        <v/>
      </c>
      <c r="T73" s="93" t="str">
        <f t="shared" si="22"/>
        <v/>
      </c>
      <c r="U73" s="93"/>
      <c r="V73" s="107" t="str">
        <f t="shared" si="5"/>
        <v/>
      </c>
      <c r="W73" s="107" t="str">
        <f t="shared" si="6"/>
        <v/>
      </c>
    </row>
    <row r="74" ht="18.75" customHeight="1">
      <c r="A74" s="93"/>
      <c r="B74" s="93"/>
      <c r="C74" s="166"/>
      <c r="D74" s="166"/>
      <c r="E74" s="166"/>
      <c r="F74" s="166"/>
      <c r="G74" s="177"/>
      <c r="H74" s="182"/>
      <c r="I74" s="170"/>
      <c r="J74" s="169"/>
      <c r="K74" s="169"/>
      <c r="L74" s="183"/>
      <c r="M74" s="180"/>
      <c r="N74" s="181"/>
      <c r="O74" s="93"/>
      <c r="P74" s="93"/>
      <c r="Q74" s="93" t="str">
        <f t="shared" si="19"/>
        <v/>
      </c>
      <c r="R74" s="93" t="str">
        <f t="shared" si="20"/>
        <v/>
      </c>
      <c r="S74" s="93" t="str">
        <f t="shared" si="21"/>
        <v/>
      </c>
      <c r="T74" s="93" t="str">
        <f t="shared" si="22"/>
        <v/>
      </c>
      <c r="U74" s="93"/>
      <c r="V74" s="107" t="str">
        <f t="shared" si="5"/>
        <v/>
      </c>
      <c r="W74" s="107" t="str">
        <f t="shared" si="6"/>
        <v/>
      </c>
    </row>
    <row r="75" ht="18.75" customHeight="1">
      <c r="A75" s="93"/>
      <c r="B75" s="93"/>
      <c r="C75" s="166"/>
      <c r="D75" s="166"/>
      <c r="E75" s="166"/>
      <c r="F75" s="166"/>
      <c r="G75" s="177"/>
      <c r="H75" s="182"/>
      <c r="I75" s="170"/>
      <c r="J75" s="169"/>
      <c r="K75" s="169"/>
      <c r="L75" s="183"/>
      <c r="M75" s="180"/>
      <c r="N75" s="181"/>
      <c r="O75" s="93"/>
      <c r="P75" s="93"/>
      <c r="Q75" s="93" t="str">
        <f t="shared" si="19"/>
        <v/>
      </c>
      <c r="R75" s="93" t="str">
        <f t="shared" si="20"/>
        <v/>
      </c>
      <c r="S75" s="93" t="str">
        <f t="shared" si="21"/>
        <v/>
      </c>
      <c r="T75" s="93" t="str">
        <f t="shared" si="22"/>
        <v/>
      </c>
      <c r="U75" s="93"/>
      <c r="V75" s="107" t="str">
        <f t="shared" si="5"/>
        <v/>
      </c>
      <c r="W75" s="107" t="str">
        <f t="shared" si="6"/>
        <v/>
      </c>
    </row>
    <row r="76" ht="18.75" customHeight="1">
      <c r="A76" s="93"/>
      <c r="B76" s="93"/>
      <c r="C76" s="166"/>
      <c r="D76" s="166"/>
      <c r="E76" s="166"/>
      <c r="F76" s="166"/>
      <c r="G76" s="177"/>
      <c r="H76" s="182"/>
      <c r="I76" s="170"/>
      <c r="J76" s="169"/>
      <c r="K76" s="169"/>
      <c r="L76" s="183"/>
      <c r="M76" s="180"/>
      <c r="N76" s="181"/>
      <c r="O76" s="93"/>
      <c r="P76" s="93"/>
      <c r="Q76" s="93" t="str">
        <f t="shared" si="19"/>
        <v/>
      </c>
      <c r="R76" s="93" t="str">
        <f t="shared" si="20"/>
        <v/>
      </c>
      <c r="S76" s="93" t="str">
        <f t="shared" si="21"/>
        <v/>
      </c>
      <c r="T76" s="93" t="str">
        <f t="shared" si="22"/>
        <v/>
      </c>
      <c r="U76" s="93"/>
      <c r="V76" s="107" t="str">
        <f t="shared" si="5"/>
        <v/>
      </c>
      <c r="W76" s="107"/>
    </row>
    <row r="77" ht="18.75" customHeight="1">
      <c r="A77" s="93"/>
      <c r="B77" s="93"/>
      <c r="C77" s="166"/>
      <c r="D77" s="166"/>
      <c r="E77" s="166"/>
      <c r="F77" s="166"/>
      <c r="G77" s="177"/>
      <c r="H77" s="182"/>
      <c r="I77" s="170"/>
      <c r="J77" s="169"/>
      <c r="K77" s="169"/>
      <c r="L77" s="183"/>
      <c r="M77" s="180"/>
      <c r="N77" s="181"/>
      <c r="O77" s="93"/>
      <c r="P77" s="93"/>
      <c r="Q77" s="93" t="str">
        <f t="shared" ref="Q77:Q98" si="23">if(P77="","", sumif(V$3:W120,P77,G$3:G120))</f>
        <v/>
      </c>
      <c r="R77" s="93" t="str">
        <f t="shared" si="20"/>
        <v/>
      </c>
      <c r="S77" s="93" t="str">
        <f t="shared" si="21"/>
        <v/>
      </c>
      <c r="T77" s="93" t="str">
        <f t="shared" si="22"/>
        <v/>
      </c>
      <c r="U77" s="93"/>
      <c r="V77" s="107" t="str">
        <f t="shared" si="5"/>
        <v/>
      </c>
      <c r="W77" s="107"/>
    </row>
    <row r="78" ht="18.75" customHeight="1">
      <c r="A78" s="93"/>
      <c r="B78" s="93"/>
      <c r="C78" s="166"/>
      <c r="D78" s="166"/>
      <c r="E78" s="166"/>
      <c r="F78" s="166"/>
      <c r="G78" s="177"/>
      <c r="H78" s="182"/>
      <c r="I78" s="170"/>
      <c r="J78" s="169"/>
      <c r="K78" s="169"/>
      <c r="L78" s="183"/>
      <c r="M78" s="180"/>
      <c r="N78" s="181"/>
      <c r="O78" s="93"/>
      <c r="P78" s="93"/>
      <c r="Q78" s="93" t="str">
        <f t="shared" si="23"/>
        <v/>
      </c>
      <c r="R78" s="93" t="str">
        <f t="shared" si="20"/>
        <v/>
      </c>
      <c r="S78" s="93" t="str">
        <f t="shared" si="21"/>
        <v/>
      </c>
      <c r="T78" s="93" t="str">
        <f t="shared" si="22"/>
        <v/>
      </c>
      <c r="U78" s="93"/>
      <c r="V78" s="107" t="str">
        <f t="shared" si="5"/>
        <v/>
      </c>
      <c r="W78" s="107"/>
    </row>
    <row r="79" ht="18.75" customHeight="1">
      <c r="A79" s="93"/>
      <c r="B79" s="93"/>
      <c r="C79" s="166"/>
      <c r="D79" s="166"/>
      <c r="E79" s="166"/>
      <c r="F79" s="166"/>
      <c r="G79" s="177"/>
      <c r="H79" s="182"/>
      <c r="I79" s="170"/>
      <c r="J79" s="169"/>
      <c r="K79" s="169"/>
      <c r="L79" s="183"/>
      <c r="M79" s="180"/>
      <c r="N79" s="181"/>
      <c r="O79" s="93"/>
      <c r="P79" s="93"/>
      <c r="Q79" s="93" t="str">
        <f t="shared" si="23"/>
        <v/>
      </c>
      <c r="R79" s="93" t="str">
        <f t="shared" si="20"/>
        <v/>
      </c>
      <c r="S79" s="93" t="str">
        <f t="shared" si="21"/>
        <v/>
      </c>
      <c r="T79" s="93" t="str">
        <f t="shared" si="22"/>
        <v/>
      </c>
      <c r="U79" s="93"/>
      <c r="V79" s="107" t="str">
        <f t="shared" si="5"/>
        <v/>
      </c>
      <c r="W79" s="107"/>
    </row>
    <row r="80" ht="18.75" customHeight="1">
      <c r="A80" s="93"/>
      <c r="B80" s="93"/>
      <c r="C80" s="166"/>
      <c r="D80" s="166"/>
      <c r="E80" s="166"/>
      <c r="F80" s="166"/>
      <c r="G80" s="177"/>
      <c r="H80" s="182"/>
      <c r="I80" s="170"/>
      <c r="J80" s="169"/>
      <c r="K80" s="169"/>
      <c r="L80" s="183"/>
      <c r="M80" s="180"/>
      <c r="N80" s="181"/>
      <c r="O80" s="93"/>
      <c r="P80" s="93"/>
      <c r="Q80" s="93" t="str">
        <f t="shared" si="23"/>
        <v/>
      </c>
      <c r="R80" s="93" t="str">
        <f t="shared" si="20"/>
        <v/>
      </c>
      <c r="S80" s="93" t="str">
        <f t="shared" si="21"/>
        <v/>
      </c>
      <c r="T80" s="93" t="str">
        <f t="shared" si="22"/>
        <v/>
      </c>
      <c r="U80" s="93"/>
      <c r="V80" s="107" t="str">
        <f t="shared" si="5"/>
        <v/>
      </c>
      <c r="W80" s="107"/>
    </row>
    <row r="81" ht="18.75" customHeight="1">
      <c r="A81" s="93"/>
      <c r="B81" s="93"/>
      <c r="C81" s="166"/>
      <c r="D81" s="166"/>
      <c r="E81" s="166"/>
      <c r="F81" s="166"/>
      <c r="G81" s="177"/>
      <c r="H81" s="182"/>
      <c r="I81" s="170"/>
      <c r="J81" s="169"/>
      <c r="K81" s="169"/>
      <c r="L81" s="183"/>
      <c r="M81" s="180"/>
      <c r="N81" s="181"/>
      <c r="O81" s="93"/>
      <c r="P81" s="93"/>
      <c r="Q81" s="93" t="str">
        <f t="shared" si="23"/>
        <v/>
      </c>
      <c r="R81" s="93" t="str">
        <f t="shared" si="20"/>
        <v/>
      </c>
      <c r="S81" s="93" t="str">
        <f t="shared" si="21"/>
        <v/>
      </c>
      <c r="T81" s="93" t="str">
        <f t="shared" si="22"/>
        <v/>
      </c>
      <c r="U81" s="93"/>
      <c r="V81" s="107" t="str">
        <f t="shared" si="5"/>
        <v/>
      </c>
      <c r="W81" s="107"/>
    </row>
    <row r="82" ht="18.75" customHeight="1">
      <c r="A82" s="93"/>
      <c r="B82" s="93"/>
      <c r="C82" s="166"/>
      <c r="D82" s="166"/>
      <c r="E82" s="166"/>
      <c r="F82" s="166"/>
      <c r="G82" s="177"/>
      <c r="H82" s="182"/>
      <c r="I82" s="170"/>
      <c r="J82" s="169"/>
      <c r="K82" s="169"/>
      <c r="L82" s="183"/>
      <c r="M82" s="180"/>
      <c r="N82" s="181"/>
      <c r="O82" s="93"/>
      <c r="P82" s="93"/>
      <c r="Q82" s="93" t="str">
        <f t="shared" si="23"/>
        <v/>
      </c>
      <c r="R82" s="93" t="str">
        <f t="shared" si="20"/>
        <v/>
      </c>
      <c r="S82" s="93" t="str">
        <f t="shared" si="21"/>
        <v/>
      </c>
      <c r="T82" s="93" t="str">
        <f t="shared" si="22"/>
        <v/>
      </c>
      <c r="U82" s="93"/>
      <c r="V82" s="107" t="str">
        <f t="shared" si="5"/>
        <v/>
      </c>
      <c r="W82" s="107"/>
    </row>
    <row r="83" ht="18.75" customHeight="1">
      <c r="A83" s="93"/>
      <c r="B83" s="93"/>
      <c r="C83" s="166"/>
      <c r="D83" s="166"/>
      <c r="E83" s="166"/>
      <c r="F83" s="166"/>
      <c r="G83" s="177"/>
      <c r="H83" s="182"/>
      <c r="I83" s="170"/>
      <c r="J83" s="169"/>
      <c r="K83" s="169"/>
      <c r="L83" s="183"/>
      <c r="M83" s="180"/>
      <c r="N83" s="181"/>
      <c r="O83" s="93"/>
      <c r="P83" s="93"/>
      <c r="Q83" s="93" t="str">
        <f t="shared" si="23"/>
        <v/>
      </c>
      <c r="R83" s="93" t="str">
        <f t="shared" si="20"/>
        <v/>
      </c>
      <c r="S83" s="93" t="str">
        <f t="shared" si="21"/>
        <v/>
      </c>
      <c r="T83" s="93" t="str">
        <f t="shared" si="22"/>
        <v/>
      </c>
      <c r="U83" s="93"/>
      <c r="V83" s="107" t="str">
        <f t="shared" si="5"/>
        <v/>
      </c>
      <c r="W83" s="107"/>
    </row>
    <row r="84" ht="18.75" customHeight="1">
      <c r="A84" s="93"/>
      <c r="B84" s="93"/>
      <c r="C84" s="166"/>
      <c r="D84" s="166"/>
      <c r="E84" s="166"/>
      <c r="F84" s="166"/>
      <c r="G84" s="177"/>
      <c r="H84" s="182"/>
      <c r="I84" s="170"/>
      <c r="J84" s="169"/>
      <c r="K84" s="169"/>
      <c r="L84" s="183"/>
      <c r="M84" s="180"/>
      <c r="N84" s="181"/>
      <c r="O84" s="93"/>
      <c r="P84" s="93"/>
      <c r="Q84" s="93" t="str">
        <f t="shared" si="23"/>
        <v/>
      </c>
      <c r="R84" s="93" t="str">
        <f t="shared" si="20"/>
        <v/>
      </c>
      <c r="S84" s="93" t="str">
        <f t="shared" si="21"/>
        <v/>
      </c>
      <c r="T84" s="93" t="str">
        <f t="shared" si="22"/>
        <v/>
      </c>
      <c r="U84" s="93"/>
      <c r="V84" s="107" t="str">
        <f t="shared" si="5"/>
        <v/>
      </c>
      <c r="W84" s="107"/>
    </row>
    <row r="85" ht="18.75" customHeight="1">
      <c r="A85" s="93"/>
      <c r="B85" s="93"/>
      <c r="C85" s="166"/>
      <c r="D85" s="166"/>
      <c r="E85" s="166"/>
      <c r="F85" s="166"/>
      <c r="G85" s="177"/>
      <c r="H85" s="182"/>
      <c r="I85" s="170"/>
      <c r="J85" s="169"/>
      <c r="K85" s="169"/>
      <c r="L85" s="183"/>
      <c r="M85" s="180"/>
      <c r="N85" s="181"/>
      <c r="O85" s="93"/>
      <c r="P85" s="93"/>
      <c r="Q85" s="93" t="str">
        <f t="shared" si="23"/>
        <v/>
      </c>
      <c r="R85" s="93" t="str">
        <f t="shared" si="20"/>
        <v/>
      </c>
      <c r="S85" s="93" t="str">
        <f t="shared" si="21"/>
        <v/>
      </c>
      <c r="T85" s="93" t="str">
        <f t="shared" si="22"/>
        <v/>
      </c>
      <c r="U85" s="93"/>
      <c r="V85" s="107" t="str">
        <f t="shared" si="5"/>
        <v/>
      </c>
      <c r="W85" s="107"/>
    </row>
    <row r="86" ht="18.75" customHeight="1">
      <c r="A86" s="93"/>
      <c r="B86" s="93"/>
      <c r="C86" s="166"/>
      <c r="D86" s="166"/>
      <c r="E86" s="166"/>
      <c r="F86" s="166"/>
      <c r="G86" s="177"/>
      <c r="H86" s="182"/>
      <c r="I86" s="170"/>
      <c r="J86" s="169"/>
      <c r="K86" s="169"/>
      <c r="L86" s="183"/>
      <c r="M86" s="180"/>
      <c r="N86" s="181"/>
      <c r="O86" s="93"/>
      <c r="P86" s="93"/>
      <c r="Q86" s="93" t="str">
        <f t="shared" si="23"/>
        <v/>
      </c>
      <c r="R86" s="93" t="str">
        <f t="shared" si="20"/>
        <v/>
      </c>
      <c r="S86" s="93" t="str">
        <f t="shared" si="21"/>
        <v/>
      </c>
      <c r="T86" s="93" t="str">
        <f t="shared" si="22"/>
        <v/>
      </c>
      <c r="U86" s="93"/>
      <c r="V86" s="107" t="str">
        <f t="shared" si="5"/>
        <v/>
      </c>
      <c r="W86" s="107"/>
    </row>
    <row r="87" ht="18.75" customHeight="1">
      <c r="A87" s="93"/>
      <c r="B87" s="93"/>
      <c r="C87" s="166"/>
      <c r="D87" s="166"/>
      <c r="E87" s="166"/>
      <c r="F87" s="166"/>
      <c r="G87" s="177"/>
      <c r="H87" s="182"/>
      <c r="I87" s="170"/>
      <c r="J87" s="169"/>
      <c r="K87" s="169"/>
      <c r="L87" s="183"/>
      <c r="M87" s="180"/>
      <c r="N87" s="181"/>
      <c r="O87" s="93"/>
      <c r="P87" s="93"/>
      <c r="Q87" s="93" t="str">
        <f t="shared" si="23"/>
        <v/>
      </c>
      <c r="R87" s="93" t="str">
        <f t="shared" si="20"/>
        <v/>
      </c>
      <c r="S87" s="93" t="str">
        <f t="shared" si="21"/>
        <v/>
      </c>
      <c r="T87" s="93" t="str">
        <f t="shared" si="22"/>
        <v/>
      </c>
      <c r="U87" s="93"/>
      <c r="V87" s="107" t="str">
        <f t="shared" si="5"/>
        <v/>
      </c>
      <c r="W87" s="107"/>
    </row>
    <row r="88" ht="18.75" customHeight="1">
      <c r="A88" s="93"/>
      <c r="B88" s="93"/>
      <c r="C88" s="166"/>
      <c r="D88" s="166"/>
      <c r="E88" s="166"/>
      <c r="F88" s="166"/>
      <c r="G88" s="177"/>
      <c r="H88" s="182"/>
      <c r="I88" s="170"/>
      <c r="J88" s="169"/>
      <c r="K88" s="169"/>
      <c r="L88" s="183"/>
      <c r="M88" s="180"/>
      <c r="N88" s="181"/>
      <c r="O88" s="93"/>
      <c r="P88" s="93"/>
      <c r="Q88" s="93" t="str">
        <f t="shared" si="23"/>
        <v/>
      </c>
      <c r="R88" s="93" t="str">
        <f t="shared" si="20"/>
        <v/>
      </c>
      <c r="S88" s="93" t="str">
        <f t="shared" si="21"/>
        <v/>
      </c>
      <c r="T88" s="93" t="str">
        <f t="shared" si="22"/>
        <v/>
      </c>
      <c r="U88" s="93"/>
      <c r="V88" s="107" t="str">
        <f t="shared" si="5"/>
        <v/>
      </c>
      <c r="W88" s="107"/>
    </row>
    <row r="89" ht="18.75" customHeight="1">
      <c r="A89" s="93"/>
      <c r="B89" s="93"/>
      <c r="C89" s="166"/>
      <c r="D89" s="166"/>
      <c r="E89" s="166"/>
      <c r="F89" s="166"/>
      <c r="G89" s="177"/>
      <c r="H89" s="182"/>
      <c r="I89" s="170"/>
      <c r="J89" s="169"/>
      <c r="K89" s="169"/>
      <c r="L89" s="183"/>
      <c r="M89" s="180"/>
      <c r="N89" s="181"/>
      <c r="O89" s="93"/>
      <c r="P89" s="93"/>
      <c r="Q89" s="93" t="str">
        <f t="shared" si="23"/>
        <v/>
      </c>
      <c r="R89" s="93" t="str">
        <f t="shared" si="20"/>
        <v/>
      </c>
      <c r="S89" s="93" t="str">
        <f t="shared" si="21"/>
        <v/>
      </c>
      <c r="T89" s="93" t="str">
        <f t="shared" si="22"/>
        <v/>
      </c>
      <c r="U89" s="93"/>
      <c r="V89" s="107"/>
      <c r="W89" s="107"/>
    </row>
    <row r="90" ht="18.75" customHeight="1">
      <c r="A90" s="93"/>
      <c r="B90" s="93"/>
      <c r="C90" s="166"/>
      <c r="D90" s="166"/>
      <c r="E90" s="166"/>
      <c r="F90" s="166"/>
      <c r="G90" s="177"/>
      <c r="H90" s="182"/>
      <c r="I90" s="170"/>
      <c r="J90" s="169"/>
      <c r="K90" s="169"/>
      <c r="L90" s="183"/>
      <c r="M90" s="180"/>
      <c r="N90" s="181"/>
      <c r="O90" s="93"/>
      <c r="P90" s="93"/>
      <c r="Q90" s="93" t="str">
        <f t="shared" si="23"/>
        <v/>
      </c>
      <c r="R90" s="93" t="str">
        <f t="shared" si="20"/>
        <v/>
      </c>
      <c r="S90" s="93" t="str">
        <f t="shared" si="21"/>
        <v/>
      </c>
      <c r="T90" s="93" t="str">
        <f t="shared" si="22"/>
        <v/>
      </c>
      <c r="U90" s="93"/>
      <c r="V90" s="107"/>
      <c r="W90" s="107"/>
    </row>
    <row r="91" ht="18.75" customHeight="1">
      <c r="A91" s="93"/>
      <c r="B91" s="93"/>
      <c r="C91" s="166"/>
      <c r="D91" s="166"/>
      <c r="E91" s="166"/>
      <c r="F91" s="166"/>
      <c r="G91" s="177"/>
      <c r="H91" s="182"/>
      <c r="I91" s="170"/>
      <c r="J91" s="169"/>
      <c r="K91" s="169"/>
      <c r="L91" s="183"/>
      <c r="M91" s="180"/>
      <c r="N91" s="181"/>
      <c r="O91" s="93"/>
      <c r="P91" s="93"/>
      <c r="Q91" s="93" t="str">
        <f t="shared" si="23"/>
        <v/>
      </c>
      <c r="R91" s="93" t="str">
        <f t="shared" si="20"/>
        <v/>
      </c>
      <c r="S91" s="93" t="str">
        <f t="shared" si="21"/>
        <v/>
      </c>
      <c r="T91" s="93" t="str">
        <f t="shared" si="22"/>
        <v/>
      </c>
      <c r="U91" s="93"/>
      <c r="V91" s="107"/>
      <c r="W91" s="107"/>
    </row>
    <row r="92" ht="18.75" customHeight="1">
      <c r="A92" s="93"/>
      <c r="B92" s="93"/>
      <c r="C92" s="166"/>
      <c r="D92" s="166"/>
      <c r="E92" s="166"/>
      <c r="F92" s="166"/>
      <c r="G92" s="177"/>
      <c r="H92" s="182"/>
      <c r="I92" s="170"/>
      <c r="J92" s="169"/>
      <c r="K92" s="169"/>
      <c r="L92" s="183"/>
      <c r="M92" s="180"/>
      <c r="N92" s="181"/>
      <c r="O92" s="93"/>
      <c r="P92" s="93"/>
      <c r="Q92" s="93" t="str">
        <f t="shared" si="23"/>
        <v/>
      </c>
      <c r="R92" s="93" t="str">
        <f t="shared" si="20"/>
        <v/>
      </c>
      <c r="S92" s="93" t="str">
        <f t="shared" si="21"/>
        <v/>
      </c>
      <c r="T92" s="93" t="str">
        <f t="shared" si="22"/>
        <v/>
      </c>
      <c r="U92" s="93"/>
      <c r="V92" s="107"/>
      <c r="W92" s="107"/>
    </row>
    <row r="93" ht="18.75" customHeight="1">
      <c r="A93" s="93"/>
      <c r="B93" s="93"/>
      <c r="C93" s="166"/>
      <c r="D93" s="166"/>
      <c r="E93" s="166"/>
      <c r="F93" s="166"/>
      <c r="G93" s="177"/>
      <c r="H93" s="182"/>
      <c r="I93" s="170"/>
      <c r="J93" s="169"/>
      <c r="K93" s="169"/>
      <c r="L93" s="183"/>
      <c r="M93" s="180"/>
      <c r="N93" s="181"/>
      <c r="O93" s="93"/>
      <c r="P93" s="93"/>
      <c r="Q93" s="93" t="str">
        <f t="shared" si="23"/>
        <v/>
      </c>
      <c r="R93" s="93" t="str">
        <f t="shared" si="20"/>
        <v/>
      </c>
      <c r="S93" s="93" t="str">
        <f t="shared" si="21"/>
        <v/>
      </c>
      <c r="T93" s="93" t="str">
        <f t="shared" si="22"/>
        <v/>
      </c>
      <c r="U93" s="93"/>
      <c r="V93" s="107"/>
      <c r="W93" s="107"/>
    </row>
    <row r="94" ht="18.75" customHeight="1">
      <c r="A94" s="93"/>
      <c r="B94" s="93"/>
      <c r="C94" s="166"/>
      <c r="D94" s="166"/>
      <c r="E94" s="166"/>
      <c r="F94" s="166"/>
      <c r="G94" s="177"/>
      <c r="H94" s="182"/>
      <c r="I94" s="170"/>
      <c r="J94" s="169"/>
      <c r="K94" s="169"/>
      <c r="L94" s="183"/>
      <c r="M94" s="180"/>
      <c r="N94" s="181"/>
      <c r="O94" s="93"/>
      <c r="P94" s="93"/>
      <c r="Q94" s="93" t="str">
        <f t="shared" si="23"/>
        <v/>
      </c>
      <c r="R94" s="93" t="str">
        <f t="shared" si="20"/>
        <v/>
      </c>
      <c r="S94" s="93" t="str">
        <f t="shared" si="21"/>
        <v/>
      </c>
      <c r="T94" s="93" t="str">
        <f t="shared" si="22"/>
        <v/>
      </c>
      <c r="U94" s="93"/>
      <c r="V94" s="107"/>
      <c r="W94" s="107"/>
    </row>
    <row r="95" ht="18.75" customHeight="1">
      <c r="A95" s="93"/>
      <c r="B95" s="93"/>
      <c r="C95" s="166"/>
      <c r="D95" s="166"/>
      <c r="E95" s="166"/>
      <c r="F95" s="166"/>
      <c r="G95" s="177"/>
      <c r="H95" s="182"/>
      <c r="I95" s="170"/>
      <c r="J95" s="169"/>
      <c r="K95" s="169"/>
      <c r="L95" s="183"/>
      <c r="M95" s="180"/>
      <c r="N95" s="181"/>
      <c r="O95" s="93"/>
      <c r="P95" s="93"/>
      <c r="Q95" s="93" t="str">
        <f t="shared" si="23"/>
        <v/>
      </c>
      <c r="R95" s="93" t="str">
        <f t="shared" si="20"/>
        <v/>
      </c>
      <c r="S95" s="93" t="str">
        <f t="shared" si="21"/>
        <v/>
      </c>
      <c r="T95" s="93" t="str">
        <f t="shared" si="22"/>
        <v/>
      </c>
      <c r="U95" s="93"/>
      <c r="V95" s="107"/>
      <c r="W95" s="107"/>
    </row>
    <row r="96" ht="18.75" customHeight="1">
      <c r="A96" s="93"/>
      <c r="B96" s="93"/>
      <c r="C96" s="166"/>
      <c r="D96" s="166"/>
      <c r="E96" s="166"/>
      <c r="F96" s="166"/>
      <c r="G96" s="177"/>
      <c r="H96" s="182"/>
      <c r="I96" s="170"/>
      <c r="J96" s="169"/>
      <c r="K96" s="169"/>
      <c r="L96" s="183"/>
      <c r="M96" s="180"/>
      <c r="N96" s="181"/>
      <c r="O96" s="93"/>
      <c r="P96" s="93"/>
      <c r="Q96" s="93" t="str">
        <f t="shared" si="23"/>
        <v/>
      </c>
      <c r="R96" s="93" t="str">
        <f t="shared" si="20"/>
        <v/>
      </c>
      <c r="S96" s="93" t="str">
        <f t="shared" si="21"/>
        <v/>
      </c>
      <c r="T96" s="93" t="str">
        <f t="shared" si="22"/>
        <v/>
      </c>
      <c r="U96" s="93"/>
      <c r="V96" s="107"/>
      <c r="W96" s="107"/>
    </row>
    <row r="97" ht="18.75" customHeight="1">
      <c r="A97" s="93"/>
      <c r="B97" s="93"/>
      <c r="C97" s="166"/>
      <c r="D97" s="166"/>
      <c r="E97" s="166"/>
      <c r="F97" s="166"/>
      <c r="G97" s="177"/>
      <c r="H97" s="182"/>
      <c r="I97" s="170"/>
      <c r="J97" s="169"/>
      <c r="K97" s="169"/>
      <c r="L97" s="183"/>
      <c r="M97" s="180"/>
      <c r="N97" s="181"/>
      <c r="O97" s="93"/>
      <c r="P97" s="93"/>
      <c r="Q97" s="93" t="str">
        <f t="shared" si="23"/>
        <v/>
      </c>
      <c r="R97" s="93" t="str">
        <f t="shared" si="20"/>
        <v/>
      </c>
      <c r="S97" s="93" t="str">
        <f t="shared" si="21"/>
        <v/>
      </c>
      <c r="T97" s="93" t="str">
        <f t="shared" si="22"/>
        <v/>
      </c>
      <c r="U97" s="93"/>
      <c r="V97" s="107"/>
      <c r="W97" s="107"/>
    </row>
    <row r="98" ht="18.75" customHeight="1">
      <c r="A98" s="93"/>
      <c r="B98" s="93"/>
      <c r="C98" s="166"/>
      <c r="D98" s="166"/>
      <c r="E98" s="166"/>
      <c r="F98" s="166"/>
      <c r="G98" s="177"/>
      <c r="H98" s="182"/>
      <c r="I98" s="170"/>
      <c r="J98" s="169"/>
      <c r="K98" s="169"/>
      <c r="L98" s="183"/>
      <c r="M98" s="180"/>
      <c r="N98" s="181"/>
      <c r="O98" s="93"/>
      <c r="P98" s="93"/>
      <c r="Q98" s="93" t="str">
        <f t="shared" si="23"/>
        <v/>
      </c>
      <c r="R98" s="93" t="str">
        <f t="shared" si="20"/>
        <v/>
      </c>
      <c r="S98" s="93" t="str">
        <f t="shared" si="21"/>
        <v/>
      </c>
      <c r="T98" s="93" t="str">
        <f t="shared" si="22"/>
        <v/>
      </c>
      <c r="U98" s="93"/>
      <c r="V98" s="107"/>
      <c r="W98" s="107"/>
    </row>
    <row r="99" ht="18.75" customHeight="1">
      <c r="A99" s="93"/>
      <c r="B99" s="93"/>
      <c r="C99" s="166"/>
      <c r="D99" s="166"/>
      <c r="E99" s="166"/>
      <c r="F99" s="166"/>
      <c r="G99" s="177"/>
      <c r="H99" s="182"/>
      <c r="I99" s="170"/>
      <c r="J99" s="169"/>
      <c r="K99" s="169"/>
      <c r="L99" s="183"/>
      <c r="M99" s="180"/>
      <c r="N99" s="181"/>
      <c r="O99" s="93"/>
      <c r="P99" s="93"/>
      <c r="Q99" s="93"/>
      <c r="R99" s="93"/>
      <c r="S99" s="93"/>
      <c r="T99" s="93"/>
      <c r="U99" s="93"/>
      <c r="V99" s="107"/>
      <c r="W99" s="107"/>
    </row>
    <row r="100" ht="18.75" customHeight="1">
      <c r="A100" s="93"/>
      <c r="B100" s="93"/>
      <c r="C100" s="166"/>
      <c r="D100" s="166"/>
      <c r="E100" s="166"/>
      <c r="F100" s="166"/>
      <c r="G100" s="177"/>
      <c r="H100" s="182"/>
      <c r="I100" s="170"/>
      <c r="J100" s="169"/>
      <c r="K100" s="169"/>
      <c r="L100" s="183"/>
      <c r="M100" s="180"/>
      <c r="N100" s="181"/>
      <c r="O100" s="93"/>
      <c r="P100" s="93"/>
      <c r="Q100" s="93"/>
      <c r="R100" s="93"/>
      <c r="S100" s="93"/>
      <c r="T100" s="93"/>
      <c r="U100" s="93"/>
      <c r="V100" s="107"/>
      <c r="W100" s="107"/>
    </row>
    <row r="101" ht="18.75" customHeight="1">
      <c r="A101" s="93"/>
      <c r="B101" s="93"/>
      <c r="C101" s="166"/>
      <c r="D101" s="166"/>
      <c r="E101" s="166"/>
      <c r="F101" s="166"/>
      <c r="G101" s="177"/>
      <c r="H101" s="182"/>
      <c r="I101" s="170"/>
      <c r="J101" s="169"/>
      <c r="K101" s="169"/>
      <c r="L101" s="183"/>
      <c r="M101" s="180"/>
      <c r="N101" s="181"/>
      <c r="O101" s="93"/>
      <c r="P101" s="93"/>
      <c r="Q101" s="93"/>
      <c r="R101" s="93"/>
      <c r="S101" s="93"/>
      <c r="T101" s="93"/>
      <c r="U101" s="93"/>
      <c r="V101" s="107"/>
      <c r="W101" s="107"/>
    </row>
    <row r="102" ht="18.75" customHeight="1">
      <c r="A102" s="93"/>
      <c r="B102" s="93"/>
      <c r="C102" s="166"/>
      <c r="D102" s="166"/>
      <c r="E102" s="166"/>
      <c r="F102" s="166"/>
      <c r="G102" s="177"/>
      <c r="H102" s="182"/>
      <c r="I102" s="170"/>
      <c r="J102" s="169"/>
      <c r="K102" s="169"/>
      <c r="L102" s="183"/>
      <c r="M102" s="180"/>
      <c r="N102" s="181"/>
      <c r="O102" s="93"/>
      <c r="P102" s="93"/>
      <c r="Q102" s="93"/>
      <c r="R102" s="93"/>
      <c r="S102" s="93"/>
      <c r="T102" s="93"/>
      <c r="U102" s="93"/>
      <c r="V102" s="107"/>
      <c r="W102" s="107"/>
    </row>
    <row r="103" ht="18.75" customHeight="1">
      <c r="A103" s="93"/>
      <c r="B103" s="93"/>
      <c r="C103" s="166"/>
      <c r="D103" s="166"/>
      <c r="E103" s="166"/>
      <c r="F103" s="166"/>
      <c r="G103" s="177"/>
      <c r="H103" s="182"/>
      <c r="I103" s="170"/>
      <c r="J103" s="169"/>
      <c r="K103" s="169"/>
      <c r="L103" s="183"/>
      <c r="M103" s="180"/>
      <c r="N103" s="181"/>
      <c r="O103" s="93"/>
      <c r="P103" s="93"/>
      <c r="Q103" s="93"/>
      <c r="R103" s="93"/>
      <c r="S103" s="93"/>
      <c r="T103" s="93"/>
      <c r="U103" s="93"/>
      <c r="V103" s="107"/>
      <c r="W103" s="107"/>
    </row>
    <row r="104" ht="18.75" customHeight="1">
      <c r="A104" s="93"/>
      <c r="B104" s="93"/>
      <c r="C104" s="166"/>
      <c r="D104" s="166"/>
      <c r="E104" s="166"/>
      <c r="F104" s="166"/>
      <c r="G104" s="177"/>
      <c r="H104" s="182"/>
      <c r="I104" s="170"/>
      <c r="J104" s="169"/>
      <c r="K104" s="169"/>
      <c r="L104" s="183"/>
      <c r="M104" s="180"/>
      <c r="N104" s="181"/>
      <c r="O104" s="93"/>
      <c r="P104" s="93"/>
      <c r="Q104" s="93"/>
      <c r="R104" s="93"/>
      <c r="S104" s="93"/>
      <c r="T104" s="93"/>
      <c r="U104" s="93"/>
      <c r="V104" s="107"/>
      <c r="W104" s="107"/>
    </row>
    <row r="105" ht="18.75" customHeight="1">
      <c r="A105" s="93"/>
      <c r="B105" s="93"/>
      <c r="C105" s="166"/>
      <c r="D105" s="166"/>
      <c r="E105" s="166"/>
      <c r="F105" s="166"/>
      <c r="G105" s="177"/>
      <c r="H105" s="182"/>
      <c r="I105" s="170"/>
      <c r="J105" s="169"/>
      <c r="K105" s="169"/>
      <c r="L105" s="183"/>
      <c r="M105" s="180"/>
      <c r="N105" s="181"/>
      <c r="O105" s="93"/>
      <c r="P105" s="93"/>
      <c r="Q105" s="93"/>
      <c r="R105" s="93"/>
      <c r="S105" s="93"/>
      <c r="T105" s="93"/>
      <c r="U105" s="93"/>
      <c r="V105" s="107"/>
      <c r="W105" s="107"/>
    </row>
    <row r="106" ht="18.75" customHeight="1">
      <c r="A106" s="93"/>
      <c r="B106" s="93"/>
      <c r="C106" s="166"/>
      <c r="D106" s="166"/>
      <c r="E106" s="166"/>
      <c r="F106" s="166"/>
      <c r="G106" s="177"/>
      <c r="H106" s="182"/>
      <c r="I106" s="170"/>
      <c r="J106" s="169"/>
      <c r="K106" s="169"/>
      <c r="L106" s="183"/>
      <c r="M106" s="180"/>
      <c r="N106" s="181"/>
      <c r="O106" s="93"/>
      <c r="P106" s="93"/>
      <c r="Q106" s="93"/>
      <c r="R106" s="93"/>
      <c r="S106" s="93"/>
      <c r="T106" s="93"/>
      <c r="U106" s="93"/>
      <c r="V106" s="107"/>
      <c r="W106" s="107"/>
    </row>
    <row r="107" ht="18.75" customHeight="1">
      <c r="A107" s="93"/>
      <c r="B107" s="93"/>
      <c r="C107" s="166"/>
      <c r="D107" s="166"/>
      <c r="E107" s="166"/>
      <c r="F107" s="166"/>
      <c r="G107" s="177"/>
      <c r="H107" s="182"/>
      <c r="I107" s="170"/>
      <c r="J107" s="169"/>
      <c r="K107" s="169"/>
      <c r="L107" s="183"/>
      <c r="M107" s="180"/>
      <c r="N107" s="181"/>
      <c r="O107" s="93"/>
      <c r="P107" s="93"/>
      <c r="Q107" s="93"/>
      <c r="R107" s="93"/>
      <c r="S107" s="93"/>
      <c r="T107" s="93"/>
      <c r="U107" s="93"/>
      <c r="V107" s="107"/>
      <c r="W107" s="107"/>
    </row>
    <row r="108" ht="18.75" customHeight="1">
      <c r="A108" s="93"/>
      <c r="B108" s="93"/>
      <c r="C108" s="166"/>
      <c r="D108" s="166"/>
      <c r="E108" s="166"/>
      <c r="F108" s="166"/>
      <c r="G108" s="177"/>
      <c r="H108" s="182"/>
      <c r="I108" s="170"/>
      <c r="J108" s="169"/>
      <c r="K108" s="169"/>
      <c r="L108" s="183"/>
      <c r="M108" s="180"/>
      <c r="N108" s="181"/>
      <c r="O108" s="93"/>
      <c r="P108" s="93"/>
      <c r="Q108" s="93"/>
      <c r="R108" s="93"/>
      <c r="S108" s="93"/>
      <c r="T108" s="93"/>
      <c r="U108" s="93"/>
      <c r="V108" s="107"/>
      <c r="W108" s="107"/>
    </row>
    <row r="109" ht="18.75" customHeight="1">
      <c r="A109" s="93"/>
      <c r="B109" s="93"/>
      <c r="C109" s="166"/>
      <c r="D109" s="166"/>
      <c r="E109" s="166"/>
      <c r="F109" s="166"/>
      <c r="G109" s="177"/>
      <c r="H109" s="182"/>
      <c r="I109" s="170"/>
      <c r="J109" s="169"/>
      <c r="K109" s="169"/>
      <c r="L109" s="183"/>
      <c r="M109" s="180"/>
      <c r="N109" s="181"/>
      <c r="O109" s="93"/>
      <c r="P109" s="93"/>
      <c r="Q109" s="93"/>
      <c r="R109" s="93"/>
      <c r="S109" s="93"/>
      <c r="T109" s="93"/>
      <c r="U109" s="93"/>
      <c r="V109" s="107"/>
      <c r="W109" s="107"/>
    </row>
    <row r="110" ht="18.75" customHeight="1">
      <c r="A110" s="93"/>
      <c r="B110" s="93"/>
      <c r="C110" s="166"/>
      <c r="D110" s="166"/>
      <c r="E110" s="166"/>
      <c r="F110" s="166"/>
      <c r="G110" s="177"/>
      <c r="H110" s="182"/>
      <c r="I110" s="170"/>
      <c r="J110" s="169"/>
      <c r="K110" s="169"/>
      <c r="L110" s="183"/>
      <c r="M110" s="180"/>
      <c r="N110" s="181"/>
      <c r="O110" s="93"/>
      <c r="P110" s="93"/>
      <c r="Q110" s="93"/>
      <c r="R110" s="93"/>
      <c r="S110" s="93"/>
      <c r="T110" s="93"/>
      <c r="U110" s="93"/>
      <c r="V110" s="107"/>
      <c r="W110" s="107"/>
    </row>
    <row r="111" ht="18.75" customHeight="1">
      <c r="A111" s="93"/>
      <c r="B111" s="93"/>
      <c r="C111" s="166"/>
      <c r="D111" s="166"/>
      <c r="E111" s="166"/>
      <c r="F111" s="166"/>
      <c r="G111" s="177"/>
      <c r="H111" s="182"/>
      <c r="I111" s="170"/>
      <c r="J111" s="169"/>
      <c r="K111" s="169"/>
      <c r="L111" s="183"/>
      <c r="M111" s="180"/>
      <c r="N111" s="181"/>
      <c r="O111" s="93"/>
      <c r="P111" s="93"/>
      <c r="Q111" s="93"/>
      <c r="R111" s="93"/>
      <c r="S111" s="93"/>
      <c r="T111" s="93"/>
      <c r="U111" s="93"/>
      <c r="V111" s="107"/>
      <c r="W111" s="107"/>
    </row>
    <row r="112" ht="18.75" customHeight="1">
      <c r="A112" s="93"/>
      <c r="B112" s="93"/>
      <c r="C112" s="166"/>
      <c r="D112" s="166"/>
      <c r="E112" s="166"/>
      <c r="F112" s="166"/>
      <c r="G112" s="177"/>
      <c r="H112" s="182"/>
      <c r="I112" s="170"/>
      <c r="J112" s="169"/>
      <c r="K112" s="169"/>
      <c r="L112" s="183"/>
      <c r="M112" s="180"/>
      <c r="N112" s="181"/>
      <c r="O112" s="93"/>
      <c r="P112" s="93"/>
      <c r="Q112" s="93"/>
      <c r="R112" s="93"/>
      <c r="S112" s="93"/>
      <c r="T112" s="93"/>
      <c r="U112" s="93"/>
      <c r="V112" s="107"/>
      <c r="W112" s="107"/>
    </row>
    <row r="113" ht="18.75" customHeight="1">
      <c r="A113" s="93"/>
      <c r="B113" s="93"/>
      <c r="C113" s="166"/>
      <c r="D113" s="166"/>
      <c r="E113" s="166"/>
      <c r="F113" s="166"/>
      <c r="G113" s="177"/>
      <c r="H113" s="182"/>
      <c r="I113" s="170"/>
      <c r="J113" s="169"/>
      <c r="K113" s="169"/>
      <c r="L113" s="183"/>
      <c r="M113" s="180"/>
      <c r="N113" s="186"/>
      <c r="O113" s="93"/>
      <c r="P113" s="93"/>
      <c r="Q113" s="93"/>
      <c r="R113" s="93"/>
      <c r="S113" s="93"/>
      <c r="T113" s="93"/>
      <c r="U113" s="93"/>
      <c r="V113" s="107"/>
      <c r="W113" s="107"/>
    </row>
    <row r="114" ht="18.75" customHeight="1">
      <c r="A114" s="93"/>
      <c r="B114" s="93"/>
      <c r="C114" s="166"/>
      <c r="D114" s="166"/>
      <c r="E114" s="166"/>
      <c r="F114" s="166"/>
      <c r="G114" s="177"/>
      <c r="H114" s="182"/>
      <c r="I114" s="170"/>
      <c r="J114" s="169"/>
      <c r="K114" s="169"/>
      <c r="L114" s="183"/>
      <c r="M114" s="180"/>
      <c r="N114" s="186"/>
      <c r="O114" s="93"/>
      <c r="P114" s="93"/>
      <c r="Q114" s="93"/>
      <c r="R114" s="93"/>
      <c r="S114" s="93"/>
      <c r="T114" s="93"/>
      <c r="U114" s="93"/>
      <c r="V114" s="107"/>
      <c r="W114" s="107"/>
    </row>
    <row r="115" ht="18.75" customHeight="1">
      <c r="A115" s="93"/>
      <c r="B115" s="93"/>
      <c r="C115" s="166"/>
      <c r="D115" s="166"/>
      <c r="E115" s="166"/>
      <c r="F115" s="166"/>
      <c r="G115" s="177"/>
      <c r="H115" s="182"/>
      <c r="I115" s="170"/>
      <c r="J115" s="169"/>
      <c r="K115" s="169"/>
      <c r="L115" s="183"/>
      <c r="M115" s="180"/>
      <c r="N115" s="186"/>
      <c r="O115" s="93"/>
      <c r="P115" s="93"/>
      <c r="Q115" s="93"/>
      <c r="R115" s="93"/>
      <c r="S115" s="93"/>
      <c r="T115" s="93"/>
      <c r="U115" s="93"/>
      <c r="V115" s="107"/>
      <c r="W115" s="107"/>
    </row>
    <row r="116" ht="18.75" customHeight="1">
      <c r="A116" s="93"/>
      <c r="B116" s="93"/>
      <c r="C116" s="166"/>
      <c r="D116" s="166"/>
      <c r="E116" s="166"/>
      <c r="F116" s="166"/>
      <c r="G116" s="177"/>
      <c r="H116" s="182"/>
      <c r="I116" s="170"/>
      <c r="J116" s="169"/>
      <c r="K116" s="169"/>
      <c r="L116" s="183"/>
      <c r="M116" s="180"/>
      <c r="N116" s="186"/>
      <c r="O116" s="93"/>
      <c r="P116" s="93"/>
      <c r="Q116" s="93"/>
      <c r="R116" s="93"/>
      <c r="S116" s="93"/>
      <c r="T116" s="93"/>
      <c r="U116" s="93"/>
      <c r="V116" s="107"/>
      <c r="W116" s="107"/>
    </row>
    <row r="117" ht="18.75" customHeight="1">
      <c r="A117" s="93"/>
      <c r="B117" s="93"/>
      <c r="C117" s="166"/>
      <c r="D117" s="166"/>
      <c r="E117" s="166"/>
      <c r="F117" s="166"/>
      <c r="G117" s="177"/>
      <c r="H117" s="182"/>
      <c r="I117" s="170"/>
      <c r="J117" s="169"/>
      <c r="K117" s="169"/>
      <c r="L117" s="183"/>
      <c r="M117" s="180"/>
      <c r="N117" s="186"/>
      <c r="O117" s="93"/>
      <c r="P117" s="93"/>
      <c r="Q117" s="93"/>
      <c r="R117" s="93"/>
      <c r="S117" s="93"/>
      <c r="T117" s="93"/>
      <c r="U117" s="93"/>
      <c r="V117" s="107"/>
      <c r="W117" s="107"/>
    </row>
    <row r="118" ht="18.75" customHeight="1">
      <c r="A118" s="93"/>
      <c r="B118" s="93"/>
      <c r="C118" s="166"/>
      <c r="D118" s="166"/>
      <c r="E118" s="166"/>
      <c r="F118" s="166"/>
      <c r="G118" s="177"/>
      <c r="H118" s="182"/>
      <c r="I118" s="170"/>
      <c r="J118" s="169"/>
      <c r="K118" s="169"/>
      <c r="L118" s="183"/>
      <c r="M118" s="180"/>
      <c r="N118" s="186"/>
      <c r="O118" s="93"/>
      <c r="P118" s="93"/>
      <c r="Q118" s="93"/>
      <c r="R118" s="93"/>
      <c r="S118" s="93"/>
      <c r="T118" s="93"/>
      <c r="U118" s="93"/>
      <c r="V118" s="107"/>
      <c r="W118" s="107"/>
    </row>
    <row r="119" ht="18.75" customHeight="1">
      <c r="A119" s="93"/>
      <c r="B119" s="93"/>
      <c r="C119" s="166"/>
      <c r="D119" s="166"/>
      <c r="E119" s="166"/>
      <c r="F119" s="166"/>
      <c r="G119" s="177"/>
      <c r="H119" s="182"/>
      <c r="I119" s="170"/>
      <c r="J119" s="169"/>
      <c r="K119" s="169"/>
      <c r="L119" s="183"/>
      <c r="M119" s="180"/>
      <c r="N119" s="186"/>
      <c r="O119" s="93"/>
      <c r="P119" s="93"/>
      <c r="Q119" s="93"/>
      <c r="R119" s="93"/>
      <c r="S119" s="93"/>
      <c r="T119" s="93"/>
      <c r="U119" s="93"/>
      <c r="V119" s="107"/>
      <c r="W119" s="107"/>
    </row>
    <row r="120" ht="18.75" customHeight="1">
      <c r="A120" s="93"/>
      <c r="B120" s="93"/>
      <c r="C120" s="166"/>
      <c r="D120" s="166"/>
      <c r="E120" s="166"/>
      <c r="F120" s="166"/>
      <c r="G120" s="177"/>
      <c r="H120" s="182"/>
      <c r="I120" s="170"/>
      <c r="J120" s="169"/>
      <c r="K120" s="169"/>
      <c r="L120" s="183"/>
      <c r="M120" s="180"/>
      <c r="N120" s="186"/>
      <c r="O120" s="93"/>
      <c r="P120" s="93"/>
      <c r="Q120" s="93"/>
      <c r="R120" s="93"/>
      <c r="S120" s="93"/>
      <c r="T120" s="93"/>
      <c r="U120" s="93"/>
      <c r="V120" s="107"/>
      <c r="W120" s="107"/>
    </row>
  </sheetData>
  <conditionalFormatting sqref="C3:C32">
    <cfRule type="expression" dxfId="8" priority="1">
      <formula>C3&gt;=$Q$10</formula>
    </cfRule>
  </conditionalFormatting>
  <conditionalFormatting sqref="C3:C33">
    <cfRule type="expression" dxfId="9" priority="2">
      <formula>B2=$A$1</formula>
    </cfRule>
  </conditionalFormatting>
  <conditionalFormatting sqref="C3:C32">
    <cfRule type="expression" dxfId="10" priority="3">
      <formula>OR($B3&lt;=$A$1,$A$1="")</formula>
    </cfRule>
  </conditionalFormatting>
  <conditionalFormatting sqref="E3:E32 J3:J32">
    <cfRule type="expression" dxfId="12" priority="4">
      <formula>OR($B3&lt;=$A$1,$A$1="")</formula>
    </cfRule>
  </conditionalFormatting>
  <conditionalFormatting sqref="G3:G32 L3:N32">
    <cfRule type="expression" dxfId="13" priority="5">
      <formula>OR($B3&lt;=$A$1,$A$1="")</formula>
    </cfRule>
  </conditionalFormatting>
  <conditionalFormatting sqref="J3:J32">
    <cfRule type="expression" dxfId="12" priority="6">
      <formula>OR($B3&lt;=$A$1,$A$1="")</formula>
    </cfRule>
  </conditionalFormatting>
  <conditionalFormatting sqref="C33">
    <cfRule type="expression" dxfId="9" priority="7">
      <formula>A1=""</formula>
    </cfRule>
  </conditionalFormatting>
  <conditionalFormatting sqref="C3:C33">
    <cfRule type="expression" dxfId="9" priority="8">
      <formula>B2=$A$1</formula>
    </cfRule>
  </conditionalFormatting>
  <conditionalFormatting sqref="B3:B33">
    <cfRule type="cellIs" dxfId="11" priority="9" operator="lessThan">
      <formula>"$a$1"</formula>
    </cfRule>
  </conditionalFormatting>
  <conditionalFormatting sqref="E3:E32 J3:J32">
    <cfRule type="expression" dxfId="12" priority="10">
      <formula>$B3&lt;=$A$1</formula>
    </cfRule>
  </conditionalFormatting>
  <conditionalFormatting sqref="G3:G32 L3:N32">
    <cfRule type="expression" dxfId="13" priority="11">
      <formula>$B3&lt;=$A$1</formula>
    </cfRule>
  </conditionalFormatting>
  <conditionalFormatting sqref="J3:J32">
    <cfRule type="expression" dxfId="12" priority="12">
      <formula>$B3&lt;=$A$1</formula>
    </cfRule>
  </conditionalFormatting>
  <conditionalFormatting sqref="H3:I33">
    <cfRule type="expression" dxfId="14" priority="13">
      <formula>$B3&lt;=$A$1</formula>
    </cfRule>
  </conditionalFormatting>
  <conditionalFormatting sqref="D4:D120">
    <cfRule type="expression" dxfId="6" priority="14">
      <formula>$K4="OK"</formula>
    </cfRule>
  </conditionalFormatting>
  <conditionalFormatting sqref="P24:T24">
    <cfRule type="notContainsBlanks" dxfId="7" priority="15">
      <formula>LEN(TRIM(P24))&gt;0</formula>
    </cfRule>
  </conditionalFormatting>
  <dataValidations>
    <dataValidation type="list" allowBlank="1" showErrorMessage="1" sqref="M3:M32">
      <formula1>Diretrizes!$B$17:$B$33</formula1>
    </dataValidation>
  </dataValidations>
  <printOptions/>
  <pageMargins bottom="0.7875" footer="0.0" header="0.0" left="0.511805555555555" right="0.511805555555555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5.57"/>
    <col customWidth="1" min="3" max="3" width="10.0"/>
    <col customWidth="1" hidden="1" min="4" max="4" width="9.43"/>
    <col customWidth="1" min="5" max="5" width="11.57"/>
    <col customWidth="1" hidden="1" min="6" max="6" width="12.29"/>
    <col customWidth="1" min="7" max="7" width="7.71"/>
    <col customWidth="1" hidden="1" min="8" max="8" width="11.86"/>
    <col customWidth="1" hidden="1" min="9" max="9" width="9.29"/>
    <col customWidth="1" min="10" max="10" width="9.71"/>
    <col customWidth="1" hidden="1" min="11" max="11" width="9.14"/>
    <col customWidth="1" min="12" max="12" width="20.57"/>
    <col customWidth="1" min="13" max="13" width="22.86"/>
    <col customWidth="1" min="14" max="14" width="15.43"/>
    <col customWidth="1" min="15" max="15" width="5.14"/>
    <col customWidth="1" min="16" max="16" width="22.0"/>
    <col customWidth="1" min="17" max="17" width="14.14"/>
    <col customWidth="1" min="18" max="18" width="6.43"/>
    <col customWidth="1" min="19" max="20" width="12.14"/>
    <col customWidth="1" min="21" max="21" width="3.0"/>
    <col customWidth="1" hidden="1" min="22" max="23" width="14.71"/>
  </cols>
  <sheetData>
    <row r="1" ht="18.75" customHeight="1">
      <c r="A1" s="84">
        <f>IF(Diretrizes!J3&lt;2,"",Diretrizes!J3)</f>
        <v>12</v>
      </c>
      <c r="B1" s="85"/>
      <c r="C1" s="86" t="s">
        <v>36</v>
      </c>
      <c r="D1" s="87" t="s">
        <v>36</v>
      </c>
      <c r="E1" s="88" t="s">
        <v>37</v>
      </c>
      <c r="F1" s="89" t="s">
        <v>38</v>
      </c>
      <c r="G1" s="90"/>
      <c r="H1" s="91"/>
      <c r="I1" s="91"/>
      <c r="J1" s="88"/>
      <c r="K1" s="92"/>
      <c r="L1" s="90"/>
      <c r="M1" s="90"/>
      <c r="N1" s="90"/>
      <c r="O1" s="93"/>
      <c r="P1" s="93"/>
      <c r="Q1" s="93"/>
      <c r="R1" s="93"/>
      <c r="S1" s="93"/>
      <c r="T1" s="93"/>
      <c r="U1" s="93"/>
      <c r="V1" s="94"/>
      <c r="W1" s="94"/>
    </row>
    <row r="2" ht="18.75" customHeight="1">
      <c r="A2" s="93"/>
      <c r="B2" s="95" t="s">
        <v>39</v>
      </c>
      <c r="C2" s="96" t="s">
        <v>40</v>
      </c>
      <c r="D2" s="87" t="s">
        <v>41</v>
      </c>
      <c r="E2" s="97" t="s">
        <v>40</v>
      </c>
      <c r="F2" s="89" t="s">
        <v>41</v>
      </c>
      <c r="G2" s="98" t="s">
        <v>42</v>
      </c>
      <c r="H2" s="99" t="s">
        <v>43</v>
      </c>
      <c r="I2" s="99" t="s">
        <v>44</v>
      </c>
      <c r="J2" s="97" t="s">
        <v>45</v>
      </c>
      <c r="K2" s="100"/>
      <c r="L2" s="98" t="s">
        <v>39</v>
      </c>
      <c r="M2" s="98" t="s">
        <v>24</v>
      </c>
      <c r="N2" s="98" t="s">
        <v>34</v>
      </c>
      <c r="O2" s="101"/>
      <c r="P2" s="102" t="s">
        <v>46</v>
      </c>
      <c r="Q2" s="103"/>
      <c r="R2" s="104"/>
      <c r="S2" s="105"/>
      <c r="T2" s="106"/>
      <c r="U2" s="106"/>
      <c r="V2" s="107"/>
      <c r="W2" s="107"/>
    </row>
    <row r="3" ht="18.0" customHeight="1">
      <c r="A3" s="93"/>
      <c r="B3" s="108">
        <v>1.0</v>
      </c>
      <c r="C3" s="109">
        <f>Diretrizes!E3</f>
        <v>125</v>
      </c>
      <c r="D3" s="110">
        <f>C3</f>
        <v>125</v>
      </c>
      <c r="E3" s="111">
        <f t="shared" ref="E3:E32" si="1">IF(C3="",,IF(B3="",,C3*J3))</f>
        <v>5</v>
      </c>
      <c r="F3" s="110">
        <f t="shared" ref="F3:F32" si="2">if(D3="",,D3*J3)</f>
        <v>5</v>
      </c>
      <c r="G3" s="112"/>
      <c r="H3" s="113" t="str">
        <f t="shared" ref="H3:H32" si="3">IF(G3=0,,G3/C3)</f>
        <v/>
      </c>
      <c r="I3" s="114" t="str">
        <f t="shared" ref="I3:I32" si="4">if(G3="",,G3-F3)</f>
        <v/>
      </c>
      <c r="J3" s="115">
        <f>Diretrizes!E4</f>
        <v>0.04</v>
      </c>
      <c r="K3" s="116"/>
      <c r="L3" s="184"/>
      <c r="M3" s="118"/>
      <c r="N3" s="118"/>
      <c r="O3" s="101" t="s">
        <v>47</v>
      </c>
      <c r="P3" s="119" t="s">
        <v>48</v>
      </c>
      <c r="Q3" s="120"/>
      <c r="R3" s="121"/>
      <c r="S3" s="105"/>
      <c r="T3" s="122"/>
      <c r="U3" s="122"/>
      <c r="V3" s="107" t="str">
        <f t="shared" ref="V3:V102" si="5">if(L3="","", left(L3, find(" x ",L3)-1))</f>
        <v/>
      </c>
      <c r="W3" s="107" t="str">
        <f t="shared" ref="W3:W81" si="6">if(L3="","", TRIM(mid(L3,find(" x ",L3)+3,20)))</f>
        <v/>
      </c>
    </row>
    <row r="4" ht="18.0" customHeight="1">
      <c r="A4" s="93"/>
      <c r="B4" s="123">
        <f t="shared" ref="B4:B32" si="7">IF(B3&lt;$A$1,B3+1,if($A$1="",B3+1,""))</f>
        <v>2</v>
      </c>
      <c r="C4" s="110" t="str">
        <f t="shared" ref="C4:C33" si="8">IF(G3&lt;&gt;0,C3+G3,)</f>
        <v/>
      </c>
      <c r="D4" s="110" t="str">
        <f t="shared" ref="D4:D33" si="9">if(C4="",,D3*(1+J3))</f>
        <v/>
      </c>
      <c r="E4" s="124" t="str">
        <f t="shared" si="1"/>
        <v/>
      </c>
      <c r="F4" s="110" t="str">
        <f t="shared" si="2"/>
        <v/>
      </c>
      <c r="G4" s="125"/>
      <c r="H4" s="116" t="str">
        <f t="shared" si="3"/>
        <v/>
      </c>
      <c r="I4" s="126" t="str">
        <f t="shared" si="4"/>
        <v/>
      </c>
      <c r="J4" s="127">
        <f>if(B4&lt;&gt;"",J3*(1-Diretrizes!E$5),)</f>
        <v>0.04</v>
      </c>
      <c r="K4" s="116" t="str">
        <f t="shared" ref="K4:K12" si="10">IF(AND(D4&gt;$Q$9,D3&lt;$Q$9),"OK","NOK")</f>
        <v>NOK</v>
      </c>
      <c r="L4" s="185"/>
      <c r="M4" s="118"/>
      <c r="N4" s="118"/>
      <c r="O4" s="128" t="s">
        <v>47</v>
      </c>
      <c r="P4" s="121"/>
      <c r="Q4" s="121"/>
      <c r="R4" s="104"/>
      <c r="S4" s="105"/>
      <c r="T4" s="122"/>
      <c r="U4" s="122"/>
      <c r="V4" s="107" t="str">
        <f t="shared" si="5"/>
        <v/>
      </c>
      <c r="W4" s="107" t="str">
        <f t="shared" si="6"/>
        <v/>
      </c>
    </row>
    <row r="5" ht="18.0" customHeight="1">
      <c r="A5" s="93"/>
      <c r="B5" s="123">
        <f t="shared" si="7"/>
        <v>3</v>
      </c>
      <c r="C5" s="110" t="str">
        <f t="shared" si="8"/>
        <v/>
      </c>
      <c r="D5" s="110" t="str">
        <f t="shared" si="9"/>
        <v/>
      </c>
      <c r="E5" s="124" t="str">
        <f t="shared" si="1"/>
        <v/>
      </c>
      <c r="F5" s="110" t="str">
        <f t="shared" si="2"/>
        <v/>
      </c>
      <c r="G5" s="125"/>
      <c r="H5" s="116" t="str">
        <f t="shared" si="3"/>
        <v/>
      </c>
      <c r="I5" s="126" t="str">
        <f t="shared" si="4"/>
        <v/>
      </c>
      <c r="J5" s="127">
        <f>if(B5&lt;&gt;"",J4*(1-Diretrizes!E$5),)</f>
        <v>0.04</v>
      </c>
      <c r="K5" s="116" t="str">
        <f t="shared" si="10"/>
        <v>NOK</v>
      </c>
      <c r="L5" s="185"/>
      <c r="M5" s="118"/>
      <c r="N5" s="118"/>
      <c r="O5" s="130" t="s">
        <v>47</v>
      </c>
      <c r="P5" s="131" t="s">
        <v>6</v>
      </c>
      <c r="Q5" s="132">
        <f>Diretrizes!E3</f>
        <v>125</v>
      </c>
      <c r="R5" s="104"/>
      <c r="S5" s="131" t="s">
        <v>44</v>
      </c>
      <c r="T5" s="132">
        <f>SUM(I3:I32)</f>
        <v>0</v>
      </c>
      <c r="U5" s="133"/>
      <c r="V5" s="107" t="str">
        <f t="shared" si="5"/>
        <v/>
      </c>
      <c r="W5" s="107" t="str">
        <f t="shared" si="6"/>
        <v/>
      </c>
    </row>
    <row r="6" ht="18.0" customHeight="1">
      <c r="A6" s="93"/>
      <c r="B6" s="123">
        <f t="shared" si="7"/>
        <v>4</v>
      </c>
      <c r="C6" s="110" t="str">
        <f t="shared" si="8"/>
        <v/>
      </c>
      <c r="D6" s="110" t="str">
        <f t="shared" si="9"/>
        <v/>
      </c>
      <c r="E6" s="124" t="str">
        <f t="shared" si="1"/>
        <v/>
      </c>
      <c r="F6" s="110" t="str">
        <f t="shared" si="2"/>
        <v/>
      </c>
      <c r="G6" s="125"/>
      <c r="H6" s="116" t="str">
        <f t="shared" si="3"/>
        <v/>
      </c>
      <c r="I6" s="126" t="str">
        <f t="shared" si="4"/>
        <v/>
      </c>
      <c r="J6" s="127">
        <f>if(B6&lt;&gt;"",J5*(1-Diretrizes!E$5),)</f>
        <v>0.04</v>
      </c>
      <c r="K6" s="116" t="str">
        <f t="shared" si="10"/>
        <v>NOK</v>
      </c>
      <c r="L6" s="185"/>
      <c r="M6" s="118"/>
      <c r="N6" s="118"/>
      <c r="O6" s="130" t="s">
        <v>47</v>
      </c>
      <c r="P6" s="131" t="s">
        <v>49</v>
      </c>
      <c r="Q6" s="132">
        <f>Q7+C3</f>
        <v>125</v>
      </c>
      <c r="R6" s="135"/>
      <c r="S6" s="104"/>
      <c r="T6" s="136"/>
      <c r="U6" s="104"/>
      <c r="V6" s="107" t="str">
        <f t="shared" si="5"/>
        <v/>
      </c>
      <c r="W6" s="107" t="str">
        <f t="shared" si="6"/>
        <v/>
      </c>
    </row>
    <row r="7" ht="18.0" customHeight="1">
      <c r="A7" s="93"/>
      <c r="B7" s="123">
        <f t="shared" si="7"/>
        <v>5</v>
      </c>
      <c r="C7" s="110" t="str">
        <f t="shared" si="8"/>
        <v/>
      </c>
      <c r="D7" s="110" t="str">
        <f t="shared" si="9"/>
        <v/>
      </c>
      <c r="E7" s="124" t="str">
        <f t="shared" si="1"/>
        <v/>
      </c>
      <c r="F7" s="110" t="str">
        <f t="shared" si="2"/>
        <v/>
      </c>
      <c r="G7" s="137"/>
      <c r="H7" s="116" t="str">
        <f t="shared" si="3"/>
        <v/>
      </c>
      <c r="I7" s="126" t="str">
        <f t="shared" si="4"/>
        <v/>
      </c>
      <c r="J7" s="127">
        <f>if(B7&lt;&gt;"",J6*(1-Diretrizes!E$5),)</f>
        <v>0.04</v>
      </c>
      <c r="K7" s="116" t="str">
        <f t="shared" si="10"/>
        <v>NOK</v>
      </c>
      <c r="L7" s="185"/>
      <c r="M7" s="118"/>
      <c r="N7" s="118"/>
      <c r="O7" s="130" t="s">
        <v>59</v>
      </c>
      <c r="P7" s="131" t="s">
        <v>50</v>
      </c>
      <c r="Q7" s="132">
        <f>SUM(G3:G32)</f>
        <v>0</v>
      </c>
      <c r="R7" s="135"/>
      <c r="S7" s="102" t="s">
        <v>51</v>
      </c>
      <c r="T7" s="138" t="str">
        <f>IF(G3="",,MAX(0,Q6-'Ciclo 4'!Q5))</f>
        <v/>
      </c>
      <c r="U7" s="139"/>
      <c r="V7" s="107" t="str">
        <f t="shared" si="5"/>
        <v/>
      </c>
      <c r="W7" s="107" t="str">
        <f t="shared" si="6"/>
        <v/>
      </c>
    </row>
    <row r="8" ht="18.0" customHeight="1">
      <c r="A8" s="93"/>
      <c r="B8" s="123">
        <f t="shared" si="7"/>
        <v>6</v>
      </c>
      <c r="C8" s="110" t="str">
        <f t="shared" si="8"/>
        <v/>
      </c>
      <c r="D8" s="110" t="str">
        <f t="shared" si="9"/>
        <v/>
      </c>
      <c r="E8" s="124" t="str">
        <f t="shared" si="1"/>
        <v/>
      </c>
      <c r="F8" s="110" t="str">
        <f t="shared" si="2"/>
        <v/>
      </c>
      <c r="G8" s="137"/>
      <c r="H8" s="116" t="str">
        <f t="shared" si="3"/>
        <v/>
      </c>
      <c r="I8" s="126" t="str">
        <f t="shared" si="4"/>
        <v/>
      </c>
      <c r="J8" s="140">
        <f>if(B8&lt;&gt;"",J7*(1-Diretrizes!E$5),)</f>
        <v>0.04</v>
      </c>
      <c r="K8" s="116" t="str">
        <f t="shared" si="10"/>
        <v>NOK</v>
      </c>
      <c r="L8" s="185"/>
      <c r="M8" s="141"/>
      <c r="N8" s="141"/>
      <c r="O8" s="130" t="s">
        <v>47</v>
      </c>
      <c r="P8" s="142" t="s">
        <v>52</v>
      </c>
      <c r="Q8" s="143">
        <f>Q6/C3-1</f>
        <v>0</v>
      </c>
      <c r="R8" s="104"/>
      <c r="S8" s="104"/>
      <c r="T8" s="135"/>
      <c r="U8" s="135"/>
      <c r="V8" s="107" t="str">
        <f t="shared" si="5"/>
        <v/>
      </c>
      <c r="W8" s="107" t="str">
        <f t="shared" si="6"/>
        <v/>
      </c>
    </row>
    <row r="9" ht="18.0" customHeight="1">
      <c r="A9" s="93"/>
      <c r="B9" s="123">
        <f t="shared" si="7"/>
        <v>7</v>
      </c>
      <c r="C9" s="110" t="str">
        <f t="shared" si="8"/>
        <v/>
      </c>
      <c r="D9" s="110" t="str">
        <f t="shared" si="9"/>
        <v/>
      </c>
      <c r="E9" s="124" t="str">
        <f t="shared" si="1"/>
        <v/>
      </c>
      <c r="F9" s="110" t="str">
        <f t="shared" si="2"/>
        <v/>
      </c>
      <c r="G9" s="137"/>
      <c r="H9" s="116" t="str">
        <f t="shared" si="3"/>
        <v/>
      </c>
      <c r="I9" s="126" t="str">
        <f t="shared" si="4"/>
        <v/>
      </c>
      <c r="J9" s="127">
        <f>if(B9&lt;&gt;"",J8*(1-Diretrizes!E$5),)</f>
        <v>0.04</v>
      </c>
      <c r="K9" s="116" t="str">
        <f t="shared" si="10"/>
        <v>NOK</v>
      </c>
      <c r="L9" s="185"/>
      <c r="M9" s="141"/>
      <c r="N9" s="141"/>
      <c r="O9" s="130" t="s">
        <v>47</v>
      </c>
      <c r="P9" s="144"/>
      <c r="Q9" s="144"/>
      <c r="R9" s="104"/>
      <c r="S9" s="105"/>
      <c r="T9" s="122"/>
      <c r="U9" s="122"/>
      <c r="V9" s="107" t="str">
        <f t="shared" si="5"/>
        <v/>
      </c>
      <c r="W9" s="107" t="str">
        <f t="shared" si="6"/>
        <v/>
      </c>
    </row>
    <row r="10" ht="18.0" customHeight="1">
      <c r="A10" s="93"/>
      <c r="B10" s="123">
        <f t="shared" si="7"/>
        <v>8</v>
      </c>
      <c r="C10" s="110" t="str">
        <f t="shared" si="8"/>
        <v/>
      </c>
      <c r="D10" s="110" t="str">
        <f t="shared" si="9"/>
        <v/>
      </c>
      <c r="E10" s="124" t="str">
        <f t="shared" si="1"/>
        <v/>
      </c>
      <c r="F10" s="110" t="str">
        <f t="shared" si="2"/>
        <v/>
      </c>
      <c r="G10" s="137"/>
      <c r="H10" s="116" t="str">
        <f t="shared" si="3"/>
        <v/>
      </c>
      <c r="I10" s="126" t="str">
        <f t="shared" si="4"/>
        <v/>
      </c>
      <c r="J10" s="127">
        <f>if(B10&lt;&gt;"",J9*(1-Diretrizes!E$5),)</f>
        <v>0.04</v>
      </c>
      <c r="K10" s="116" t="str">
        <f t="shared" si="10"/>
        <v>NOK</v>
      </c>
      <c r="L10" s="185"/>
      <c r="M10" s="118"/>
      <c r="N10" s="141"/>
      <c r="O10" s="145" t="s">
        <v>47</v>
      </c>
      <c r="P10" s="131" t="s">
        <v>53</v>
      </c>
      <c r="Q10" s="132">
        <f>Diretrizes!E7</f>
        <v>187.5</v>
      </c>
      <c r="R10" s="146"/>
      <c r="S10" s="93"/>
      <c r="T10" s="147"/>
      <c r="U10" s="147"/>
      <c r="V10" s="107" t="str">
        <f t="shared" si="5"/>
        <v/>
      </c>
      <c r="W10" s="107" t="str">
        <f t="shared" si="6"/>
        <v/>
      </c>
    </row>
    <row r="11" ht="18.0" customHeight="1">
      <c r="A11" s="93"/>
      <c r="B11" s="123">
        <f t="shared" si="7"/>
        <v>9</v>
      </c>
      <c r="C11" s="110" t="str">
        <f t="shared" si="8"/>
        <v/>
      </c>
      <c r="D11" s="110" t="str">
        <f t="shared" si="9"/>
        <v/>
      </c>
      <c r="E11" s="124" t="str">
        <f t="shared" si="1"/>
        <v/>
      </c>
      <c r="F11" s="110" t="str">
        <f t="shared" si="2"/>
        <v/>
      </c>
      <c r="G11" s="137"/>
      <c r="H11" s="116" t="str">
        <f t="shared" si="3"/>
        <v/>
      </c>
      <c r="I11" s="126" t="str">
        <f t="shared" si="4"/>
        <v/>
      </c>
      <c r="J11" s="127">
        <f>if(B11&lt;&gt;"",J10*(1-Diretrizes!E$5),)</f>
        <v>0.04</v>
      </c>
      <c r="K11" s="116" t="str">
        <f t="shared" si="10"/>
        <v>NOK</v>
      </c>
      <c r="L11" s="185"/>
      <c r="M11" s="118"/>
      <c r="N11" s="118"/>
      <c r="O11" s="145" t="s">
        <v>47</v>
      </c>
      <c r="U11" s="147"/>
      <c r="V11" s="107" t="str">
        <f t="shared" si="5"/>
        <v/>
      </c>
      <c r="W11" s="107" t="str">
        <f t="shared" si="6"/>
        <v/>
      </c>
    </row>
    <row r="12" ht="18.0" customHeight="1">
      <c r="A12" s="93"/>
      <c r="B12" s="123">
        <f t="shared" si="7"/>
        <v>10</v>
      </c>
      <c r="C12" s="110" t="str">
        <f t="shared" si="8"/>
        <v/>
      </c>
      <c r="D12" s="110" t="str">
        <f t="shared" si="9"/>
        <v/>
      </c>
      <c r="E12" s="124" t="str">
        <f t="shared" si="1"/>
        <v/>
      </c>
      <c r="F12" s="110" t="str">
        <f t="shared" si="2"/>
        <v/>
      </c>
      <c r="G12" s="137"/>
      <c r="H12" s="116" t="str">
        <f t="shared" si="3"/>
        <v/>
      </c>
      <c r="I12" s="126" t="str">
        <f t="shared" si="4"/>
        <v/>
      </c>
      <c r="J12" s="127">
        <f>if(B12&lt;&gt;"",J11*(1-Diretrizes!E$5),)</f>
        <v>0.04</v>
      </c>
      <c r="K12" s="116" t="str">
        <f t="shared" si="10"/>
        <v>NOK</v>
      </c>
      <c r="L12" s="185"/>
      <c r="M12" s="118"/>
      <c r="N12" s="118"/>
      <c r="O12" s="148" t="s">
        <v>47</v>
      </c>
      <c r="P12" s="149" t="s">
        <v>54</v>
      </c>
      <c r="Q12" s="93"/>
      <c r="R12" s="93"/>
      <c r="S12" s="93"/>
      <c r="T12" s="147"/>
      <c r="U12" s="147"/>
      <c r="V12" s="107" t="str">
        <f t="shared" si="5"/>
        <v/>
      </c>
      <c r="W12" s="107" t="str">
        <f t="shared" si="6"/>
        <v/>
      </c>
    </row>
    <row r="13" ht="18.0" customHeight="1">
      <c r="A13" s="93"/>
      <c r="B13" s="123">
        <f t="shared" si="7"/>
        <v>11</v>
      </c>
      <c r="C13" s="110" t="str">
        <f t="shared" si="8"/>
        <v/>
      </c>
      <c r="D13" s="110" t="str">
        <f t="shared" si="9"/>
        <v/>
      </c>
      <c r="E13" s="124" t="str">
        <f t="shared" si="1"/>
        <v/>
      </c>
      <c r="F13" s="110" t="str">
        <f t="shared" si="2"/>
        <v/>
      </c>
      <c r="G13" s="137"/>
      <c r="H13" s="116" t="str">
        <f t="shared" si="3"/>
        <v/>
      </c>
      <c r="I13" s="126" t="str">
        <f t="shared" si="4"/>
        <v/>
      </c>
      <c r="J13" s="127">
        <f>if(B13&lt;&gt;"",J12*(1-Diretrizes!E$5),)</f>
        <v>0.04</v>
      </c>
      <c r="K13" s="116"/>
      <c r="L13" s="185"/>
      <c r="M13" s="150"/>
      <c r="N13" s="118"/>
      <c r="O13" s="151" t="s">
        <v>47</v>
      </c>
      <c r="P13" s="152" t="s">
        <v>24</v>
      </c>
      <c r="Q13" s="153" t="s">
        <v>26</v>
      </c>
      <c r="R13" s="153" t="s">
        <v>55</v>
      </c>
      <c r="S13" s="153" t="s">
        <v>27</v>
      </c>
      <c r="T13" s="154" t="s">
        <v>28</v>
      </c>
      <c r="U13" s="147"/>
      <c r="V13" s="107" t="str">
        <f t="shared" si="5"/>
        <v/>
      </c>
      <c r="W13" s="107" t="str">
        <f t="shared" si="6"/>
        <v/>
      </c>
    </row>
    <row r="14" ht="18.0" customHeight="1">
      <c r="A14" s="93"/>
      <c r="B14" s="123">
        <f t="shared" si="7"/>
        <v>12</v>
      </c>
      <c r="C14" s="110" t="str">
        <f t="shared" si="8"/>
        <v/>
      </c>
      <c r="D14" s="110" t="str">
        <f t="shared" si="9"/>
        <v/>
      </c>
      <c r="E14" s="124" t="str">
        <f t="shared" si="1"/>
        <v/>
      </c>
      <c r="F14" s="110" t="str">
        <f t="shared" si="2"/>
        <v/>
      </c>
      <c r="G14" s="137"/>
      <c r="H14" s="116" t="str">
        <f t="shared" si="3"/>
        <v/>
      </c>
      <c r="I14" s="126" t="str">
        <f t="shared" si="4"/>
        <v/>
      </c>
      <c r="J14" s="127">
        <f>if(B14&lt;&gt;"",J13*(1-Diretrizes!E$5),)</f>
        <v>0.04</v>
      </c>
      <c r="K14" s="116"/>
      <c r="L14" s="185"/>
      <c r="M14" s="150"/>
      <c r="N14" s="118"/>
      <c r="O14" s="148" t="s">
        <v>47</v>
      </c>
      <c r="P14" s="155" t="str">
        <f t="array" ref="P14">sort(unique(M3:M120))</f>
        <v/>
      </c>
      <c r="Q14" s="156" t="str">
        <f t="shared" ref="Q14:Q24" si="11">if(P14="","", sumif(M$3:M120,P14,G$3:G120))</f>
        <v/>
      </c>
      <c r="R14" s="157" t="str">
        <f t="shared" ref="R14:R24" si="12">if(P14="","", countif(M$3:M120,P14))</f>
        <v/>
      </c>
      <c r="S14" s="158" t="str">
        <f t="shared" ref="S14:S24" si="13">if(P14="","", averageif(M$3:M120,P14,H$3:H120))</f>
        <v/>
      </c>
      <c r="T14" s="158" t="str">
        <f t="shared" ref="T14:T24" si="14">if(P14="","",Q14/sum($G$3:$G120))</f>
        <v/>
      </c>
      <c r="U14" s="147"/>
      <c r="V14" s="107" t="str">
        <f t="shared" si="5"/>
        <v/>
      </c>
      <c r="W14" s="107" t="str">
        <f t="shared" si="6"/>
        <v/>
      </c>
    </row>
    <row r="15" ht="18.0" customHeight="1">
      <c r="A15" s="93"/>
      <c r="B15" s="123" t="str">
        <f t="shared" si="7"/>
        <v/>
      </c>
      <c r="C15" s="110" t="str">
        <f t="shared" si="8"/>
        <v/>
      </c>
      <c r="D15" s="110" t="str">
        <f t="shared" si="9"/>
        <v/>
      </c>
      <c r="E15" s="124" t="str">
        <f t="shared" si="1"/>
        <v/>
      </c>
      <c r="F15" s="110" t="str">
        <f t="shared" si="2"/>
        <v/>
      </c>
      <c r="G15" s="137"/>
      <c r="H15" s="116" t="str">
        <f t="shared" si="3"/>
        <v/>
      </c>
      <c r="I15" s="126" t="str">
        <f t="shared" si="4"/>
        <v/>
      </c>
      <c r="J15" s="127" t="str">
        <f>if(B15&lt;&gt;"",J14*(1-Diretrizes!E$5),)</f>
        <v/>
      </c>
      <c r="K15" s="116"/>
      <c r="L15" s="185"/>
      <c r="M15" s="150"/>
      <c r="N15" s="118"/>
      <c r="O15" s="148" t="s">
        <v>47</v>
      </c>
      <c r="P15" s="155"/>
      <c r="Q15" s="156" t="str">
        <f t="shared" si="11"/>
        <v/>
      </c>
      <c r="R15" s="157" t="str">
        <f t="shared" si="12"/>
        <v/>
      </c>
      <c r="S15" s="158" t="str">
        <f t="shared" si="13"/>
        <v/>
      </c>
      <c r="T15" s="158" t="str">
        <f t="shared" si="14"/>
        <v/>
      </c>
      <c r="U15" s="147"/>
      <c r="V15" s="107" t="str">
        <f t="shared" si="5"/>
        <v/>
      </c>
      <c r="W15" s="107" t="str">
        <f t="shared" si="6"/>
        <v/>
      </c>
    </row>
    <row r="16" ht="18.0" customHeight="1">
      <c r="A16" s="93"/>
      <c r="B16" s="123" t="str">
        <f t="shared" si="7"/>
        <v/>
      </c>
      <c r="C16" s="110" t="str">
        <f t="shared" si="8"/>
        <v/>
      </c>
      <c r="D16" s="110" t="str">
        <f t="shared" si="9"/>
        <v/>
      </c>
      <c r="E16" s="124" t="str">
        <f t="shared" si="1"/>
        <v/>
      </c>
      <c r="F16" s="110" t="str">
        <f t="shared" si="2"/>
        <v/>
      </c>
      <c r="G16" s="137"/>
      <c r="H16" s="116" t="str">
        <f t="shared" si="3"/>
        <v/>
      </c>
      <c r="I16" s="126" t="str">
        <f t="shared" si="4"/>
        <v/>
      </c>
      <c r="J16" s="127" t="str">
        <f>if(B16&lt;&gt;"",J15*(1-Diretrizes!E$5),)</f>
        <v/>
      </c>
      <c r="K16" s="116"/>
      <c r="L16" s="185"/>
      <c r="M16" s="150"/>
      <c r="N16" s="118"/>
      <c r="O16" s="148" t="s">
        <v>47</v>
      </c>
      <c r="P16" s="155"/>
      <c r="Q16" s="156" t="str">
        <f t="shared" si="11"/>
        <v/>
      </c>
      <c r="R16" s="157" t="str">
        <f t="shared" si="12"/>
        <v/>
      </c>
      <c r="S16" s="158" t="str">
        <f t="shared" si="13"/>
        <v/>
      </c>
      <c r="T16" s="158" t="str">
        <f t="shared" si="14"/>
        <v/>
      </c>
      <c r="U16" s="147"/>
      <c r="V16" s="107" t="str">
        <f t="shared" si="5"/>
        <v/>
      </c>
      <c r="W16" s="107" t="str">
        <f t="shared" si="6"/>
        <v/>
      </c>
    </row>
    <row r="17" ht="18.0" customHeight="1">
      <c r="A17" s="93"/>
      <c r="B17" s="123" t="str">
        <f t="shared" si="7"/>
        <v/>
      </c>
      <c r="C17" s="110" t="str">
        <f t="shared" si="8"/>
        <v/>
      </c>
      <c r="D17" s="110" t="str">
        <f t="shared" si="9"/>
        <v/>
      </c>
      <c r="E17" s="124" t="str">
        <f t="shared" si="1"/>
        <v/>
      </c>
      <c r="F17" s="110" t="str">
        <f t="shared" si="2"/>
        <v/>
      </c>
      <c r="G17" s="137"/>
      <c r="H17" s="116" t="str">
        <f t="shared" si="3"/>
        <v/>
      </c>
      <c r="I17" s="126" t="str">
        <f t="shared" si="4"/>
        <v/>
      </c>
      <c r="J17" s="127" t="str">
        <f>if(B17&lt;&gt;"",J16*(1-Diretrizes!E$5),)</f>
        <v/>
      </c>
      <c r="K17" s="116"/>
      <c r="L17" s="185"/>
      <c r="M17" s="150"/>
      <c r="N17" s="118"/>
      <c r="O17" s="148" t="s">
        <v>47</v>
      </c>
      <c r="P17" s="155"/>
      <c r="Q17" s="156" t="str">
        <f t="shared" si="11"/>
        <v/>
      </c>
      <c r="R17" s="157" t="str">
        <f t="shared" si="12"/>
        <v/>
      </c>
      <c r="S17" s="158" t="str">
        <f t="shared" si="13"/>
        <v/>
      </c>
      <c r="T17" s="158" t="str">
        <f t="shared" si="14"/>
        <v/>
      </c>
      <c r="U17" s="147"/>
      <c r="V17" s="107" t="str">
        <f t="shared" si="5"/>
        <v/>
      </c>
      <c r="W17" s="107" t="str">
        <f t="shared" si="6"/>
        <v/>
      </c>
    </row>
    <row r="18" ht="18.0" customHeight="1">
      <c r="A18" s="93"/>
      <c r="B18" s="123" t="str">
        <f t="shared" si="7"/>
        <v/>
      </c>
      <c r="C18" s="110" t="str">
        <f t="shared" si="8"/>
        <v/>
      </c>
      <c r="D18" s="110" t="str">
        <f t="shared" si="9"/>
        <v/>
      </c>
      <c r="E18" s="124" t="str">
        <f t="shared" si="1"/>
        <v/>
      </c>
      <c r="F18" s="110" t="str">
        <f t="shared" si="2"/>
        <v/>
      </c>
      <c r="G18" s="137"/>
      <c r="H18" s="116" t="str">
        <f t="shared" si="3"/>
        <v/>
      </c>
      <c r="I18" s="126" t="str">
        <f t="shared" si="4"/>
        <v/>
      </c>
      <c r="J18" s="127" t="str">
        <f>if(B18&lt;&gt;"",J17*(1-Diretrizes!E$5),)</f>
        <v/>
      </c>
      <c r="K18" s="116"/>
      <c r="L18" s="185"/>
      <c r="M18" s="150"/>
      <c r="N18" s="118"/>
      <c r="O18" s="159" t="s">
        <v>47</v>
      </c>
      <c r="P18" s="155"/>
      <c r="Q18" s="156" t="str">
        <f t="shared" si="11"/>
        <v/>
      </c>
      <c r="R18" s="157" t="str">
        <f t="shared" si="12"/>
        <v/>
      </c>
      <c r="S18" s="158" t="str">
        <f t="shared" si="13"/>
        <v/>
      </c>
      <c r="T18" s="158" t="str">
        <f t="shared" si="14"/>
        <v/>
      </c>
      <c r="U18" s="160"/>
      <c r="V18" s="107" t="str">
        <f t="shared" si="5"/>
        <v/>
      </c>
      <c r="W18" s="107" t="str">
        <f t="shared" si="6"/>
        <v/>
      </c>
    </row>
    <row r="19" ht="18.0" customHeight="1">
      <c r="A19" s="93"/>
      <c r="B19" s="123" t="str">
        <f t="shared" si="7"/>
        <v/>
      </c>
      <c r="C19" s="110" t="str">
        <f t="shared" si="8"/>
        <v/>
      </c>
      <c r="D19" s="110" t="str">
        <f t="shared" si="9"/>
        <v/>
      </c>
      <c r="E19" s="124" t="str">
        <f t="shared" si="1"/>
        <v/>
      </c>
      <c r="F19" s="110" t="str">
        <f t="shared" si="2"/>
        <v/>
      </c>
      <c r="G19" s="137"/>
      <c r="H19" s="116" t="str">
        <f t="shared" si="3"/>
        <v/>
      </c>
      <c r="I19" s="126" t="str">
        <f t="shared" si="4"/>
        <v/>
      </c>
      <c r="J19" s="127" t="str">
        <f>if(B19&lt;&gt;"",J18*(1-Diretrizes!E$5),)</f>
        <v/>
      </c>
      <c r="K19" s="116"/>
      <c r="L19" s="185"/>
      <c r="M19" s="150"/>
      <c r="N19" s="118"/>
      <c r="O19" s="148" t="s">
        <v>47</v>
      </c>
      <c r="P19" s="155"/>
      <c r="Q19" s="156" t="str">
        <f t="shared" si="11"/>
        <v/>
      </c>
      <c r="R19" s="157" t="str">
        <f t="shared" si="12"/>
        <v/>
      </c>
      <c r="S19" s="158" t="str">
        <f t="shared" si="13"/>
        <v/>
      </c>
      <c r="T19" s="158" t="str">
        <f t="shared" si="14"/>
        <v/>
      </c>
      <c r="U19" s="147"/>
      <c r="V19" s="107" t="str">
        <f t="shared" si="5"/>
        <v/>
      </c>
      <c r="W19" s="107" t="str">
        <f t="shared" si="6"/>
        <v/>
      </c>
    </row>
    <row r="20" ht="18.0" customHeight="1">
      <c r="A20" s="93"/>
      <c r="B20" s="123" t="str">
        <f t="shared" si="7"/>
        <v/>
      </c>
      <c r="C20" s="110" t="str">
        <f t="shared" si="8"/>
        <v/>
      </c>
      <c r="D20" s="110" t="str">
        <f t="shared" si="9"/>
        <v/>
      </c>
      <c r="E20" s="124" t="str">
        <f t="shared" si="1"/>
        <v/>
      </c>
      <c r="F20" s="110" t="str">
        <f t="shared" si="2"/>
        <v/>
      </c>
      <c r="G20" s="137"/>
      <c r="H20" s="116" t="str">
        <f t="shared" si="3"/>
        <v/>
      </c>
      <c r="I20" s="126" t="str">
        <f t="shared" si="4"/>
        <v/>
      </c>
      <c r="J20" s="127" t="str">
        <f>if(B20&lt;&gt;"",J19*(1-Diretrizes!E$5),)</f>
        <v/>
      </c>
      <c r="K20" s="116"/>
      <c r="L20" s="185"/>
      <c r="M20" s="150"/>
      <c r="N20" s="118"/>
      <c r="O20" s="148" t="s">
        <v>47</v>
      </c>
      <c r="P20" s="155"/>
      <c r="Q20" s="156" t="str">
        <f t="shared" si="11"/>
        <v/>
      </c>
      <c r="R20" s="157" t="str">
        <f t="shared" si="12"/>
        <v/>
      </c>
      <c r="S20" s="158" t="str">
        <f t="shared" si="13"/>
        <v/>
      </c>
      <c r="T20" s="158" t="str">
        <f t="shared" si="14"/>
        <v/>
      </c>
      <c r="U20" s="147"/>
      <c r="V20" s="107" t="str">
        <f t="shared" si="5"/>
        <v/>
      </c>
      <c r="W20" s="107" t="str">
        <f t="shared" si="6"/>
        <v/>
      </c>
    </row>
    <row r="21" ht="18.0" customHeight="1">
      <c r="A21" s="93"/>
      <c r="B21" s="123" t="str">
        <f t="shared" si="7"/>
        <v/>
      </c>
      <c r="C21" s="110" t="str">
        <f t="shared" si="8"/>
        <v/>
      </c>
      <c r="D21" s="110" t="str">
        <f t="shared" si="9"/>
        <v/>
      </c>
      <c r="E21" s="124" t="str">
        <f t="shared" si="1"/>
        <v/>
      </c>
      <c r="F21" s="110" t="str">
        <f t="shared" si="2"/>
        <v/>
      </c>
      <c r="G21" s="137"/>
      <c r="H21" s="116" t="str">
        <f t="shared" si="3"/>
        <v/>
      </c>
      <c r="I21" s="126" t="str">
        <f t="shared" si="4"/>
        <v/>
      </c>
      <c r="J21" s="127" t="str">
        <f>if(B21&lt;&gt;"",J20*(1-Diretrizes!E$5),)</f>
        <v/>
      </c>
      <c r="K21" s="116"/>
      <c r="L21" s="185"/>
      <c r="M21" s="150"/>
      <c r="N21" s="118"/>
      <c r="O21" s="148" t="s">
        <v>47</v>
      </c>
      <c r="P21" s="155"/>
      <c r="Q21" s="156" t="str">
        <f t="shared" si="11"/>
        <v/>
      </c>
      <c r="R21" s="157" t="str">
        <f t="shared" si="12"/>
        <v/>
      </c>
      <c r="S21" s="158" t="str">
        <f t="shared" si="13"/>
        <v/>
      </c>
      <c r="T21" s="158" t="str">
        <f t="shared" si="14"/>
        <v/>
      </c>
      <c r="U21" s="147"/>
      <c r="V21" s="107" t="str">
        <f t="shared" si="5"/>
        <v/>
      </c>
      <c r="W21" s="107" t="str">
        <f t="shared" si="6"/>
        <v/>
      </c>
    </row>
    <row r="22" ht="18.0" customHeight="1">
      <c r="A22" s="93"/>
      <c r="B22" s="123" t="str">
        <f t="shared" si="7"/>
        <v/>
      </c>
      <c r="C22" s="110" t="str">
        <f t="shared" si="8"/>
        <v/>
      </c>
      <c r="D22" s="110" t="str">
        <f t="shared" si="9"/>
        <v/>
      </c>
      <c r="E22" s="124" t="str">
        <f t="shared" si="1"/>
        <v/>
      </c>
      <c r="F22" s="110" t="str">
        <f t="shared" si="2"/>
        <v/>
      </c>
      <c r="G22" s="137"/>
      <c r="H22" s="116" t="str">
        <f t="shared" si="3"/>
        <v/>
      </c>
      <c r="I22" s="126" t="str">
        <f t="shared" si="4"/>
        <v/>
      </c>
      <c r="J22" s="127" t="str">
        <f>if(B22&lt;&gt;"",J21*(1-Diretrizes!E$5),)</f>
        <v/>
      </c>
      <c r="K22" s="116"/>
      <c r="L22" s="185"/>
      <c r="M22" s="150"/>
      <c r="N22" s="118"/>
      <c r="O22" s="148" t="s">
        <v>47</v>
      </c>
      <c r="P22" s="155"/>
      <c r="Q22" s="156" t="str">
        <f t="shared" si="11"/>
        <v/>
      </c>
      <c r="R22" s="157" t="str">
        <f t="shared" si="12"/>
        <v/>
      </c>
      <c r="S22" s="158" t="str">
        <f t="shared" si="13"/>
        <v/>
      </c>
      <c r="T22" s="158" t="str">
        <f t="shared" si="14"/>
        <v/>
      </c>
      <c r="U22" s="147"/>
      <c r="V22" s="107" t="str">
        <f t="shared" si="5"/>
        <v/>
      </c>
      <c r="W22" s="107" t="str">
        <f t="shared" si="6"/>
        <v/>
      </c>
    </row>
    <row r="23" ht="18.0" customHeight="1">
      <c r="A23" s="93"/>
      <c r="B23" s="123" t="str">
        <f t="shared" si="7"/>
        <v/>
      </c>
      <c r="C23" s="110" t="str">
        <f t="shared" si="8"/>
        <v/>
      </c>
      <c r="D23" s="110" t="str">
        <f t="shared" si="9"/>
        <v/>
      </c>
      <c r="E23" s="124" t="str">
        <f t="shared" si="1"/>
        <v/>
      </c>
      <c r="F23" s="110" t="str">
        <f t="shared" si="2"/>
        <v/>
      </c>
      <c r="G23" s="137"/>
      <c r="H23" s="116" t="str">
        <f t="shared" si="3"/>
        <v/>
      </c>
      <c r="I23" s="126" t="str">
        <f t="shared" si="4"/>
        <v/>
      </c>
      <c r="J23" s="127" t="str">
        <f>if(B23&lt;&gt;"",J22*(1-Diretrizes!E$5),)</f>
        <v/>
      </c>
      <c r="K23" s="116"/>
      <c r="L23" s="185"/>
      <c r="M23" s="150"/>
      <c r="N23" s="118"/>
      <c r="O23" s="148" t="s">
        <v>47</v>
      </c>
      <c r="P23" s="155"/>
      <c r="Q23" s="156" t="str">
        <f t="shared" si="11"/>
        <v/>
      </c>
      <c r="R23" s="157" t="str">
        <f t="shared" si="12"/>
        <v/>
      </c>
      <c r="S23" s="158" t="str">
        <f t="shared" si="13"/>
        <v/>
      </c>
      <c r="T23" s="158" t="str">
        <f t="shared" si="14"/>
        <v/>
      </c>
      <c r="U23" s="147"/>
      <c r="V23" s="107" t="str">
        <f t="shared" si="5"/>
        <v/>
      </c>
      <c r="W23" s="107" t="str">
        <f t="shared" si="6"/>
        <v/>
      </c>
    </row>
    <row r="24" ht="18.0" customHeight="1">
      <c r="A24" s="93"/>
      <c r="B24" s="123" t="str">
        <f t="shared" si="7"/>
        <v/>
      </c>
      <c r="C24" s="110" t="str">
        <f t="shared" si="8"/>
        <v/>
      </c>
      <c r="D24" s="110" t="str">
        <f t="shared" si="9"/>
        <v/>
      </c>
      <c r="E24" s="124" t="str">
        <f t="shared" si="1"/>
        <v/>
      </c>
      <c r="F24" s="110" t="str">
        <f t="shared" si="2"/>
        <v/>
      </c>
      <c r="G24" s="137"/>
      <c r="H24" s="116" t="str">
        <f t="shared" si="3"/>
        <v/>
      </c>
      <c r="I24" s="126" t="str">
        <f t="shared" si="4"/>
        <v/>
      </c>
      <c r="J24" s="127" t="str">
        <f>if(B24&lt;&gt;"",J23*(1-Diretrizes!E$5),)</f>
        <v/>
      </c>
      <c r="K24" s="116"/>
      <c r="L24" s="185"/>
      <c r="M24" s="150"/>
      <c r="N24" s="118"/>
      <c r="O24" s="148"/>
      <c r="P24" s="161"/>
      <c r="Q24" s="161" t="str">
        <f t="shared" si="11"/>
        <v/>
      </c>
      <c r="R24" s="161" t="str">
        <f t="shared" si="12"/>
        <v/>
      </c>
      <c r="S24" s="161" t="str">
        <f t="shared" si="13"/>
        <v/>
      </c>
      <c r="T24" s="161" t="str">
        <f t="shared" si="14"/>
        <v/>
      </c>
      <c r="U24" s="147"/>
      <c r="V24" s="107" t="str">
        <f t="shared" si="5"/>
        <v/>
      </c>
      <c r="W24" s="107" t="str">
        <f t="shared" si="6"/>
        <v/>
      </c>
    </row>
    <row r="25" ht="18.0" customHeight="1">
      <c r="A25" s="93"/>
      <c r="B25" s="123" t="str">
        <f t="shared" si="7"/>
        <v/>
      </c>
      <c r="C25" s="110" t="str">
        <f t="shared" si="8"/>
        <v/>
      </c>
      <c r="D25" s="110" t="str">
        <f t="shared" si="9"/>
        <v/>
      </c>
      <c r="E25" s="124" t="str">
        <f t="shared" si="1"/>
        <v/>
      </c>
      <c r="F25" s="110" t="str">
        <f t="shared" si="2"/>
        <v/>
      </c>
      <c r="G25" s="137"/>
      <c r="H25" s="116" t="str">
        <f t="shared" si="3"/>
        <v/>
      </c>
      <c r="I25" s="126" t="str">
        <f t="shared" si="4"/>
        <v/>
      </c>
      <c r="J25" s="127" t="str">
        <f>if(B25&lt;&gt;"",J24*(1-Diretrizes!E$5),)</f>
        <v/>
      </c>
      <c r="K25" s="116"/>
      <c r="L25" s="185"/>
      <c r="M25" s="150"/>
      <c r="N25" s="118"/>
      <c r="O25" s="148"/>
      <c r="P25" s="149" t="s">
        <v>56</v>
      </c>
      <c r="Q25" s="147"/>
      <c r="R25" s="93"/>
      <c r="S25" s="93"/>
      <c r="T25" s="147"/>
      <c r="U25" s="147"/>
      <c r="V25" s="107" t="str">
        <f t="shared" si="5"/>
        <v/>
      </c>
      <c r="W25" s="107" t="str">
        <f t="shared" si="6"/>
        <v/>
      </c>
    </row>
    <row r="26" ht="18.0" customHeight="1">
      <c r="A26" s="93"/>
      <c r="B26" s="123" t="str">
        <f t="shared" si="7"/>
        <v/>
      </c>
      <c r="C26" s="110" t="str">
        <f t="shared" si="8"/>
        <v/>
      </c>
      <c r="D26" s="110" t="str">
        <f t="shared" si="9"/>
        <v/>
      </c>
      <c r="E26" s="124" t="str">
        <f t="shared" si="1"/>
        <v/>
      </c>
      <c r="F26" s="110" t="str">
        <f t="shared" si="2"/>
        <v/>
      </c>
      <c r="G26" s="137"/>
      <c r="H26" s="116" t="str">
        <f t="shared" si="3"/>
        <v/>
      </c>
      <c r="I26" s="126" t="str">
        <f t="shared" si="4"/>
        <v/>
      </c>
      <c r="J26" s="127" t="str">
        <f>if(B26&lt;&gt;"",J25*(1-Diretrizes!E$5),)</f>
        <v/>
      </c>
      <c r="K26" s="116"/>
      <c r="L26" s="185"/>
      <c r="M26" s="150"/>
      <c r="N26" s="118"/>
      <c r="O26" s="148"/>
      <c r="P26" s="152" t="s">
        <v>24</v>
      </c>
      <c r="Q26" s="153" t="s">
        <v>26</v>
      </c>
      <c r="R26" s="153" t="s">
        <v>55</v>
      </c>
      <c r="S26" s="153" t="s">
        <v>27</v>
      </c>
      <c r="T26" s="154" t="s">
        <v>28</v>
      </c>
      <c r="U26" s="147"/>
      <c r="V26" s="107" t="str">
        <f t="shared" si="5"/>
        <v/>
      </c>
      <c r="W26" s="107" t="str">
        <f t="shared" si="6"/>
        <v/>
      </c>
    </row>
    <row r="27" ht="18.0" customHeight="1">
      <c r="A27" s="93"/>
      <c r="B27" s="123" t="str">
        <f t="shared" si="7"/>
        <v/>
      </c>
      <c r="C27" s="110" t="str">
        <f t="shared" si="8"/>
        <v/>
      </c>
      <c r="D27" s="110" t="str">
        <f t="shared" si="9"/>
        <v/>
      </c>
      <c r="E27" s="124" t="str">
        <f t="shared" si="1"/>
        <v/>
      </c>
      <c r="F27" s="110" t="str">
        <f t="shared" si="2"/>
        <v/>
      </c>
      <c r="G27" s="137"/>
      <c r="H27" s="116" t="str">
        <f t="shared" si="3"/>
        <v/>
      </c>
      <c r="I27" s="126" t="str">
        <f t="shared" si="4"/>
        <v/>
      </c>
      <c r="J27" s="127" t="str">
        <f>if(B27&lt;&gt;"",J26*(1-Diretrizes!E$5),)</f>
        <v/>
      </c>
      <c r="K27" s="116"/>
      <c r="L27" s="185"/>
      <c r="M27" s="150"/>
      <c r="N27" s="118"/>
      <c r="O27" s="148"/>
      <c r="P27" s="155" t="str">
        <f t="array" ref="P27">sort(unique(N3:N120))</f>
        <v/>
      </c>
      <c r="Q27" s="156" t="str">
        <f t="shared" ref="Q27:Q37" si="15">if(P27="","", sumif(N$3:N120,P27,G$3:G120))</f>
        <v/>
      </c>
      <c r="R27" s="157" t="str">
        <f t="shared" ref="R27:R37" si="16">if(P27="","", countif(N$3:N120,P27))</f>
        <v/>
      </c>
      <c r="S27" s="158" t="str">
        <f t="shared" ref="S27:S37" si="17">if(P27="","", averageif(N$3:N120,P27,H$3:H120))</f>
        <v/>
      </c>
      <c r="T27" s="158" t="str">
        <f t="shared" ref="T27:T37" si="18">if(P27="","",Q27/sum($G$3:$G120))</f>
        <v/>
      </c>
      <c r="U27" s="147"/>
      <c r="V27" s="107" t="str">
        <f t="shared" si="5"/>
        <v/>
      </c>
      <c r="W27" s="107" t="str">
        <f t="shared" si="6"/>
        <v/>
      </c>
    </row>
    <row r="28" ht="18.0" customHeight="1">
      <c r="A28" s="93"/>
      <c r="B28" s="123" t="str">
        <f t="shared" si="7"/>
        <v/>
      </c>
      <c r="C28" s="110" t="str">
        <f t="shared" si="8"/>
        <v/>
      </c>
      <c r="D28" s="110" t="str">
        <f t="shared" si="9"/>
        <v/>
      </c>
      <c r="E28" s="124" t="str">
        <f t="shared" si="1"/>
        <v/>
      </c>
      <c r="F28" s="110" t="str">
        <f t="shared" si="2"/>
        <v/>
      </c>
      <c r="G28" s="137"/>
      <c r="H28" s="116" t="str">
        <f t="shared" si="3"/>
        <v/>
      </c>
      <c r="I28" s="126" t="str">
        <f t="shared" si="4"/>
        <v/>
      </c>
      <c r="J28" s="127" t="str">
        <f>if(B28&lt;&gt;"",J27*(1-Diretrizes!E$5),)</f>
        <v/>
      </c>
      <c r="K28" s="116"/>
      <c r="L28" s="185"/>
      <c r="M28" s="150"/>
      <c r="N28" s="118"/>
      <c r="O28" s="148"/>
      <c r="P28" s="155"/>
      <c r="Q28" s="156" t="str">
        <f t="shared" si="15"/>
        <v/>
      </c>
      <c r="R28" s="157" t="str">
        <f t="shared" si="16"/>
        <v/>
      </c>
      <c r="S28" s="158" t="str">
        <f t="shared" si="17"/>
        <v/>
      </c>
      <c r="T28" s="158" t="str">
        <f t="shared" si="18"/>
        <v/>
      </c>
      <c r="U28" s="147"/>
      <c r="V28" s="107" t="str">
        <f t="shared" si="5"/>
        <v/>
      </c>
      <c r="W28" s="107" t="str">
        <f t="shared" si="6"/>
        <v/>
      </c>
    </row>
    <row r="29" ht="18.0" customHeight="1">
      <c r="A29" s="93"/>
      <c r="B29" s="123" t="str">
        <f t="shared" si="7"/>
        <v/>
      </c>
      <c r="C29" s="110" t="str">
        <f t="shared" si="8"/>
        <v/>
      </c>
      <c r="D29" s="110" t="str">
        <f t="shared" si="9"/>
        <v/>
      </c>
      <c r="E29" s="124" t="str">
        <f t="shared" si="1"/>
        <v/>
      </c>
      <c r="F29" s="110" t="str">
        <f t="shared" si="2"/>
        <v/>
      </c>
      <c r="G29" s="137"/>
      <c r="H29" s="116" t="str">
        <f t="shared" si="3"/>
        <v/>
      </c>
      <c r="I29" s="126" t="str">
        <f t="shared" si="4"/>
        <v/>
      </c>
      <c r="J29" s="127" t="str">
        <f>if(B29&lt;&gt;"",J28*(1-Diretrizes!E$5),)</f>
        <v/>
      </c>
      <c r="K29" s="116"/>
      <c r="L29" s="185"/>
      <c r="M29" s="150"/>
      <c r="N29" s="118"/>
      <c r="O29" s="148"/>
      <c r="P29" s="155"/>
      <c r="Q29" s="156" t="str">
        <f t="shared" si="15"/>
        <v/>
      </c>
      <c r="R29" s="157" t="str">
        <f t="shared" si="16"/>
        <v/>
      </c>
      <c r="S29" s="158" t="str">
        <f t="shared" si="17"/>
        <v/>
      </c>
      <c r="T29" s="158" t="str">
        <f t="shared" si="18"/>
        <v/>
      </c>
      <c r="U29" s="147"/>
      <c r="V29" s="107" t="str">
        <f t="shared" si="5"/>
        <v/>
      </c>
      <c r="W29" s="107" t="str">
        <f t="shared" si="6"/>
        <v/>
      </c>
    </row>
    <row r="30" ht="18.0" customHeight="1">
      <c r="A30" s="93"/>
      <c r="B30" s="123" t="str">
        <f t="shared" si="7"/>
        <v/>
      </c>
      <c r="C30" s="110" t="str">
        <f t="shared" si="8"/>
        <v/>
      </c>
      <c r="D30" s="110" t="str">
        <f t="shared" si="9"/>
        <v/>
      </c>
      <c r="E30" s="124" t="str">
        <f t="shared" si="1"/>
        <v/>
      </c>
      <c r="F30" s="110" t="str">
        <f t="shared" si="2"/>
        <v/>
      </c>
      <c r="G30" s="137"/>
      <c r="H30" s="116" t="str">
        <f t="shared" si="3"/>
        <v/>
      </c>
      <c r="I30" s="126" t="str">
        <f t="shared" si="4"/>
        <v/>
      </c>
      <c r="J30" s="127" t="str">
        <f>if(B30&lt;&gt;"",J29*(1-Diretrizes!E$5),)</f>
        <v/>
      </c>
      <c r="K30" s="116"/>
      <c r="L30" s="185"/>
      <c r="M30" s="150"/>
      <c r="N30" s="118"/>
      <c r="O30" s="148"/>
      <c r="P30" s="155"/>
      <c r="Q30" s="156" t="str">
        <f t="shared" si="15"/>
        <v/>
      </c>
      <c r="R30" s="157" t="str">
        <f t="shared" si="16"/>
        <v/>
      </c>
      <c r="S30" s="158" t="str">
        <f t="shared" si="17"/>
        <v/>
      </c>
      <c r="T30" s="158" t="str">
        <f t="shared" si="18"/>
        <v/>
      </c>
      <c r="U30" s="147"/>
      <c r="V30" s="107" t="str">
        <f t="shared" si="5"/>
        <v/>
      </c>
      <c r="W30" s="107" t="str">
        <f t="shared" si="6"/>
        <v/>
      </c>
    </row>
    <row r="31" ht="18.0" customHeight="1">
      <c r="A31" s="93"/>
      <c r="B31" s="123" t="str">
        <f t="shared" si="7"/>
        <v/>
      </c>
      <c r="C31" s="110" t="str">
        <f t="shared" si="8"/>
        <v/>
      </c>
      <c r="D31" s="110" t="str">
        <f t="shared" si="9"/>
        <v/>
      </c>
      <c r="E31" s="124" t="str">
        <f t="shared" si="1"/>
        <v/>
      </c>
      <c r="F31" s="110" t="str">
        <f t="shared" si="2"/>
        <v/>
      </c>
      <c r="G31" s="137"/>
      <c r="H31" s="116" t="str">
        <f t="shared" si="3"/>
        <v/>
      </c>
      <c r="I31" s="126" t="str">
        <f t="shared" si="4"/>
        <v/>
      </c>
      <c r="J31" s="127" t="str">
        <f>if(B31&lt;&gt;"",J30*(1-Diretrizes!E$5),)</f>
        <v/>
      </c>
      <c r="K31" s="116"/>
      <c r="L31" s="185"/>
      <c r="M31" s="150"/>
      <c r="N31" s="118"/>
      <c r="O31" s="148"/>
      <c r="P31" s="155"/>
      <c r="Q31" s="156" t="str">
        <f t="shared" si="15"/>
        <v/>
      </c>
      <c r="R31" s="157" t="str">
        <f t="shared" si="16"/>
        <v/>
      </c>
      <c r="S31" s="158" t="str">
        <f t="shared" si="17"/>
        <v/>
      </c>
      <c r="T31" s="158" t="str">
        <f t="shared" si="18"/>
        <v/>
      </c>
      <c r="U31" s="147"/>
      <c r="V31" s="107" t="str">
        <f t="shared" si="5"/>
        <v/>
      </c>
      <c r="W31" s="107" t="str">
        <f t="shared" si="6"/>
        <v/>
      </c>
    </row>
    <row r="32" ht="18.0" customHeight="1">
      <c r="A32" s="93"/>
      <c r="B32" s="123" t="str">
        <f t="shared" si="7"/>
        <v/>
      </c>
      <c r="C32" s="110" t="str">
        <f t="shared" si="8"/>
        <v/>
      </c>
      <c r="D32" s="110" t="str">
        <f t="shared" si="9"/>
        <v/>
      </c>
      <c r="E32" s="124" t="str">
        <f t="shared" si="1"/>
        <v/>
      </c>
      <c r="F32" s="110" t="str">
        <f t="shared" si="2"/>
        <v/>
      </c>
      <c r="G32" s="137"/>
      <c r="H32" s="116" t="str">
        <f t="shared" si="3"/>
        <v/>
      </c>
      <c r="I32" s="126" t="str">
        <f t="shared" si="4"/>
        <v/>
      </c>
      <c r="J32" s="127" t="str">
        <f>if(B32&lt;&gt;"",J31*(1-Diretrizes!E$5),)</f>
        <v/>
      </c>
      <c r="K32" s="116"/>
      <c r="L32" s="185"/>
      <c r="M32" s="150"/>
      <c r="N32" s="118"/>
      <c r="O32" s="148"/>
      <c r="P32" s="155"/>
      <c r="Q32" s="156" t="str">
        <f t="shared" si="15"/>
        <v/>
      </c>
      <c r="R32" s="157" t="str">
        <f t="shared" si="16"/>
        <v/>
      </c>
      <c r="S32" s="158" t="str">
        <f t="shared" si="17"/>
        <v/>
      </c>
      <c r="T32" s="158" t="str">
        <f t="shared" si="18"/>
        <v/>
      </c>
      <c r="U32" s="147"/>
      <c r="V32" s="107" t="str">
        <f t="shared" si="5"/>
        <v/>
      </c>
      <c r="W32" s="107" t="str">
        <f t="shared" si="6"/>
        <v/>
      </c>
    </row>
    <row r="33" ht="18.0" customHeight="1">
      <c r="A33" s="93"/>
      <c r="B33" s="123"/>
      <c r="C33" s="110" t="str">
        <f t="shared" si="8"/>
        <v/>
      </c>
      <c r="D33" s="110" t="str">
        <f t="shared" si="9"/>
        <v/>
      </c>
      <c r="E33" s="124"/>
      <c r="F33" s="110"/>
      <c r="G33" s="137"/>
      <c r="H33" s="116"/>
      <c r="I33" s="126"/>
      <c r="J33" s="127"/>
      <c r="K33" s="116"/>
      <c r="L33" s="129"/>
      <c r="M33" s="162"/>
      <c r="N33" s="163"/>
      <c r="O33" s="148"/>
      <c r="P33" s="155"/>
      <c r="Q33" s="156" t="str">
        <f t="shared" si="15"/>
        <v/>
      </c>
      <c r="R33" s="157" t="str">
        <f t="shared" si="16"/>
        <v/>
      </c>
      <c r="S33" s="158" t="str">
        <f t="shared" si="17"/>
        <v/>
      </c>
      <c r="T33" s="158" t="str">
        <f t="shared" si="18"/>
        <v/>
      </c>
      <c r="U33" s="147"/>
      <c r="V33" s="107" t="str">
        <f t="shared" si="5"/>
        <v/>
      </c>
      <c r="W33" s="107" t="str">
        <f t="shared" si="6"/>
        <v/>
      </c>
    </row>
    <row r="34" ht="18.75" customHeight="1">
      <c r="A34" s="93"/>
      <c r="B34" s="123"/>
      <c r="C34" s="110"/>
      <c r="D34" s="110"/>
      <c r="E34" s="124"/>
      <c r="F34" s="110"/>
      <c r="G34" s="137"/>
      <c r="H34" s="116"/>
      <c r="I34" s="126"/>
      <c r="J34" s="127"/>
      <c r="K34" s="116"/>
      <c r="L34" s="129"/>
      <c r="M34" s="162"/>
      <c r="N34" s="163"/>
      <c r="O34" s="148"/>
      <c r="P34" s="155"/>
      <c r="Q34" s="156" t="str">
        <f t="shared" si="15"/>
        <v/>
      </c>
      <c r="R34" s="157" t="str">
        <f t="shared" si="16"/>
        <v/>
      </c>
      <c r="S34" s="158" t="str">
        <f t="shared" si="17"/>
        <v/>
      </c>
      <c r="T34" s="158" t="str">
        <f t="shared" si="18"/>
        <v/>
      </c>
      <c r="U34" s="147"/>
      <c r="V34" s="107" t="str">
        <f t="shared" si="5"/>
        <v/>
      </c>
      <c r="W34" s="107" t="str">
        <f t="shared" si="6"/>
        <v/>
      </c>
    </row>
    <row r="35" ht="18.75" customHeight="1">
      <c r="A35" s="93"/>
      <c r="B35" s="123"/>
      <c r="C35" s="110"/>
      <c r="D35" s="110"/>
      <c r="E35" s="124"/>
      <c r="F35" s="110"/>
      <c r="G35" s="137"/>
      <c r="H35" s="116"/>
      <c r="I35" s="126"/>
      <c r="J35" s="127"/>
      <c r="K35" s="116"/>
      <c r="L35" s="129"/>
      <c r="M35" s="162"/>
      <c r="N35" s="163"/>
      <c r="O35" s="148"/>
      <c r="P35" s="155"/>
      <c r="Q35" s="156" t="str">
        <f t="shared" si="15"/>
        <v/>
      </c>
      <c r="R35" s="157" t="str">
        <f t="shared" si="16"/>
        <v/>
      </c>
      <c r="S35" s="158" t="str">
        <f t="shared" si="17"/>
        <v/>
      </c>
      <c r="T35" s="158" t="str">
        <f t="shared" si="18"/>
        <v/>
      </c>
      <c r="U35" s="147"/>
      <c r="V35" s="107" t="str">
        <f t="shared" si="5"/>
        <v/>
      </c>
      <c r="W35" s="107" t="str">
        <f t="shared" si="6"/>
        <v/>
      </c>
    </row>
    <row r="36" ht="18.75" customHeight="1">
      <c r="A36" s="93"/>
      <c r="B36" s="123"/>
      <c r="C36" s="110"/>
      <c r="D36" s="110"/>
      <c r="E36" s="124"/>
      <c r="F36" s="110"/>
      <c r="G36" s="137"/>
      <c r="H36" s="116"/>
      <c r="I36" s="126"/>
      <c r="J36" s="127"/>
      <c r="K36" s="116"/>
      <c r="L36" s="129"/>
      <c r="M36" s="162"/>
      <c r="N36" s="163"/>
      <c r="O36" s="148"/>
      <c r="P36" s="155"/>
      <c r="Q36" s="156" t="str">
        <f t="shared" si="15"/>
        <v/>
      </c>
      <c r="R36" s="157" t="str">
        <f t="shared" si="16"/>
        <v/>
      </c>
      <c r="S36" s="158" t="str">
        <f t="shared" si="17"/>
        <v/>
      </c>
      <c r="T36" s="158" t="str">
        <f t="shared" si="18"/>
        <v/>
      </c>
      <c r="U36" s="147"/>
      <c r="V36" s="107" t="str">
        <f t="shared" si="5"/>
        <v/>
      </c>
      <c r="W36" s="107" t="str">
        <f t="shared" si="6"/>
        <v/>
      </c>
    </row>
    <row r="37" ht="18.75" customHeight="1">
      <c r="A37" s="93"/>
      <c r="B37" s="123"/>
      <c r="C37" s="110"/>
      <c r="D37" s="110"/>
      <c r="E37" s="124"/>
      <c r="F37" s="110"/>
      <c r="G37" s="137"/>
      <c r="H37" s="116"/>
      <c r="I37" s="126"/>
      <c r="J37" s="127"/>
      <c r="K37" s="116"/>
      <c r="L37" s="129"/>
      <c r="M37" s="162"/>
      <c r="N37" s="163"/>
      <c r="O37" s="148"/>
      <c r="P37" s="161"/>
      <c r="Q37" s="161" t="str">
        <f t="shared" si="15"/>
        <v/>
      </c>
      <c r="R37" s="161" t="str">
        <f t="shared" si="16"/>
        <v/>
      </c>
      <c r="S37" s="161" t="str">
        <f t="shared" si="17"/>
        <v/>
      </c>
      <c r="T37" s="161" t="str">
        <f t="shared" si="18"/>
        <v/>
      </c>
      <c r="U37" s="147"/>
      <c r="V37" s="107" t="str">
        <f t="shared" si="5"/>
        <v/>
      </c>
      <c r="W37" s="107" t="str">
        <f t="shared" si="6"/>
        <v/>
      </c>
    </row>
    <row r="38" ht="18.75" customHeight="1">
      <c r="A38" s="93"/>
      <c r="B38" s="123"/>
      <c r="C38" s="110"/>
      <c r="D38" s="110"/>
      <c r="E38" s="124"/>
      <c r="F38" s="110"/>
      <c r="G38" s="137"/>
      <c r="H38" s="116"/>
      <c r="I38" s="126"/>
      <c r="J38" s="127"/>
      <c r="K38" s="116"/>
      <c r="L38" s="129"/>
      <c r="M38" s="162"/>
      <c r="N38" s="163"/>
      <c r="O38" s="148"/>
      <c r="P38" s="149" t="s">
        <v>57</v>
      </c>
      <c r="Q38" s="147"/>
      <c r="R38" s="93"/>
      <c r="S38" s="93"/>
      <c r="T38" s="147"/>
      <c r="U38" s="147"/>
      <c r="V38" s="107" t="str">
        <f t="shared" si="5"/>
        <v/>
      </c>
      <c r="W38" s="107" t="str">
        <f t="shared" si="6"/>
        <v/>
      </c>
    </row>
    <row r="39" ht="18.75" customHeight="1">
      <c r="A39" s="93"/>
      <c r="B39" s="123"/>
      <c r="C39" s="110"/>
      <c r="D39" s="110"/>
      <c r="E39" s="124"/>
      <c r="F39" s="110"/>
      <c r="G39" s="137"/>
      <c r="H39" s="116"/>
      <c r="I39" s="126"/>
      <c r="J39" s="127"/>
      <c r="K39" s="116"/>
      <c r="L39" s="129"/>
      <c r="M39" s="162"/>
      <c r="N39" s="163"/>
      <c r="O39" s="148"/>
      <c r="P39" s="152" t="s">
        <v>58</v>
      </c>
      <c r="Q39" s="153" t="s">
        <v>26</v>
      </c>
      <c r="R39" s="153" t="s">
        <v>55</v>
      </c>
      <c r="S39" s="153" t="s">
        <v>27</v>
      </c>
      <c r="T39" s="154" t="s">
        <v>28</v>
      </c>
      <c r="U39" s="147"/>
      <c r="V39" s="107" t="str">
        <f t="shared" si="5"/>
        <v/>
      </c>
      <c r="W39" s="107" t="str">
        <f t="shared" si="6"/>
        <v/>
      </c>
    </row>
    <row r="40" ht="18.75" customHeight="1">
      <c r="A40" s="93"/>
      <c r="B40" s="123"/>
      <c r="C40" s="110"/>
      <c r="D40" s="110"/>
      <c r="E40" s="124"/>
      <c r="F40" s="110"/>
      <c r="G40" s="137"/>
      <c r="H40" s="116"/>
      <c r="I40" s="126"/>
      <c r="J40" s="127"/>
      <c r="K40" s="116"/>
      <c r="L40" s="129"/>
      <c r="M40" s="162"/>
      <c r="N40" s="163"/>
      <c r="O40" s="148"/>
      <c r="P40" s="164" t="str">
        <f t="array" ref="P40:P41">sort(UNIQUE({V3:V120;W3:W120}))</f>
        <v/>
      </c>
      <c r="Q40" s="156"/>
      <c r="R40" s="157"/>
      <c r="S40" s="158"/>
      <c r="T40" s="158"/>
      <c r="U40" s="147"/>
      <c r="V40" s="107" t="str">
        <f t="shared" si="5"/>
        <v/>
      </c>
      <c r="W40" s="107" t="str">
        <f t="shared" si="6"/>
        <v/>
      </c>
    </row>
    <row r="41" ht="18.75" customHeight="1">
      <c r="A41" s="93"/>
      <c r="B41" s="123"/>
      <c r="C41" s="110"/>
      <c r="D41" s="110"/>
      <c r="E41" s="124"/>
      <c r="F41" s="110"/>
      <c r="G41" s="137"/>
      <c r="H41" s="116"/>
      <c r="I41" s="126"/>
      <c r="J41" s="127"/>
      <c r="K41" s="116"/>
      <c r="L41" s="129"/>
      <c r="M41" s="162"/>
      <c r="N41" s="163"/>
      <c r="O41" s="148"/>
      <c r="P41" s="164"/>
      <c r="Q41" s="156" t="str">
        <f t="shared" ref="Q41:Q77" si="19">if(P41="","", sumif(V$3:V120,P41,G$3:G120)+sumif(W$3:W120,P41,G$3:G120))</f>
        <v/>
      </c>
      <c r="R41" s="157" t="str">
        <f t="shared" ref="R41:R90" si="20">if(P41="","", countif(V$3:W120,P41))</f>
        <v/>
      </c>
      <c r="S41" s="158" t="str">
        <f t="shared" ref="S41:S90" si="21">if(P41="","", iferror(averageif(V$3:V120,P41,H$3:H120),0)+iferror(averageif(W$3:W120,P41,H$3:H120),0))</f>
        <v/>
      </c>
      <c r="T41" s="158" t="str">
        <f t="shared" ref="T41:T90" si="22">if(P41="","",Q41/sum($G$3:$G120))</f>
        <v/>
      </c>
      <c r="U41" s="147"/>
      <c r="V41" s="107" t="str">
        <f t="shared" si="5"/>
        <v/>
      </c>
      <c r="W41" s="107" t="str">
        <f t="shared" si="6"/>
        <v/>
      </c>
    </row>
    <row r="42" ht="18.75" customHeight="1">
      <c r="A42" s="93"/>
      <c r="B42" s="123"/>
      <c r="C42" s="110"/>
      <c r="D42" s="110"/>
      <c r="E42" s="124"/>
      <c r="F42" s="110"/>
      <c r="G42" s="137"/>
      <c r="H42" s="116"/>
      <c r="I42" s="126"/>
      <c r="J42" s="127"/>
      <c r="K42" s="116"/>
      <c r="L42" s="129"/>
      <c r="M42" s="162"/>
      <c r="N42" s="163"/>
      <c r="O42" s="145"/>
      <c r="P42" s="155"/>
      <c r="Q42" s="156" t="str">
        <f t="shared" si="19"/>
        <v/>
      </c>
      <c r="R42" s="157" t="str">
        <f t="shared" si="20"/>
        <v/>
      </c>
      <c r="S42" s="158" t="str">
        <f t="shared" si="21"/>
        <v/>
      </c>
      <c r="T42" s="158" t="str">
        <f t="shared" si="22"/>
        <v/>
      </c>
      <c r="U42" s="93"/>
      <c r="V42" s="107" t="str">
        <f t="shared" si="5"/>
        <v/>
      </c>
      <c r="W42" s="107" t="str">
        <f t="shared" si="6"/>
        <v/>
      </c>
    </row>
    <row r="43" ht="18.75" customHeight="1">
      <c r="A43" s="93"/>
      <c r="B43" s="123"/>
      <c r="C43" s="110"/>
      <c r="D43" s="110"/>
      <c r="E43" s="124"/>
      <c r="F43" s="110"/>
      <c r="G43" s="137"/>
      <c r="H43" s="116"/>
      <c r="I43" s="126"/>
      <c r="J43" s="127"/>
      <c r="K43" s="116"/>
      <c r="L43" s="129"/>
      <c r="M43" s="162"/>
      <c r="N43" s="163"/>
      <c r="O43" s="145"/>
      <c r="P43" s="155"/>
      <c r="Q43" s="156" t="str">
        <f t="shared" si="19"/>
        <v/>
      </c>
      <c r="R43" s="157" t="str">
        <f t="shared" si="20"/>
        <v/>
      </c>
      <c r="S43" s="158" t="str">
        <f t="shared" si="21"/>
        <v/>
      </c>
      <c r="T43" s="158" t="str">
        <f t="shared" si="22"/>
        <v/>
      </c>
      <c r="U43" s="93"/>
      <c r="V43" s="107" t="str">
        <f t="shared" si="5"/>
        <v/>
      </c>
      <c r="W43" s="107" t="str">
        <f t="shared" si="6"/>
        <v/>
      </c>
    </row>
    <row r="44" ht="18.75" customHeight="1">
      <c r="A44" s="93"/>
      <c r="B44" s="123"/>
      <c r="C44" s="110"/>
      <c r="D44" s="110"/>
      <c r="E44" s="124"/>
      <c r="F44" s="110"/>
      <c r="G44" s="137"/>
      <c r="H44" s="116"/>
      <c r="I44" s="126"/>
      <c r="J44" s="127"/>
      <c r="K44" s="116"/>
      <c r="L44" s="129"/>
      <c r="M44" s="162"/>
      <c r="N44" s="163"/>
      <c r="O44" s="145"/>
      <c r="P44" s="155"/>
      <c r="Q44" s="156" t="str">
        <f t="shared" si="19"/>
        <v/>
      </c>
      <c r="R44" s="157" t="str">
        <f t="shared" si="20"/>
        <v/>
      </c>
      <c r="S44" s="158" t="str">
        <f t="shared" si="21"/>
        <v/>
      </c>
      <c r="T44" s="158" t="str">
        <f t="shared" si="22"/>
        <v/>
      </c>
      <c r="U44" s="93"/>
      <c r="V44" s="107" t="str">
        <f t="shared" si="5"/>
        <v/>
      </c>
      <c r="W44" s="107" t="str">
        <f t="shared" si="6"/>
        <v/>
      </c>
    </row>
    <row r="45" ht="18.75" customHeight="1">
      <c r="A45" s="93"/>
      <c r="B45" s="123"/>
      <c r="C45" s="110"/>
      <c r="D45" s="110"/>
      <c r="E45" s="124"/>
      <c r="F45" s="110"/>
      <c r="G45" s="137"/>
      <c r="H45" s="116"/>
      <c r="I45" s="126"/>
      <c r="J45" s="127"/>
      <c r="K45" s="116"/>
      <c r="L45" s="129"/>
      <c r="M45" s="162"/>
      <c r="N45" s="165"/>
      <c r="O45" s="93"/>
      <c r="P45" s="155"/>
      <c r="Q45" s="156" t="str">
        <f t="shared" si="19"/>
        <v/>
      </c>
      <c r="R45" s="157" t="str">
        <f t="shared" si="20"/>
        <v/>
      </c>
      <c r="S45" s="158" t="str">
        <f t="shared" si="21"/>
        <v/>
      </c>
      <c r="T45" s="158" t="str">
        <f t="shared" si="22"/>
        <v/>
      </c>
      <c r="U45" s="93"/>
      <c r="V45" s="107" t="str">
        <f t="shared" si="5"/>
        <v/>
      </c>
      <c r="W45" s="107" t="str">
        <f t="shared" si="6"/>
        <v/>
      </c>
    </row>
    <row r="46" ht="18.75" customHeight="1">
      <c r="A46" s="93"/>
      <c r="B46" s="123"/>
      <c r="C46" s="110"/>
      <c r="D46" s="110"/>
      <c r="E46" s="124"/>
      <c r="F46" s="110"/>
      <c r="G46" s="137"/>
      <c r="H46" s="116"/>
      <c r="I46" s="126"/>
      <c r="J46" s="127"/>
      <c r="K46" s="116"/>
      <c r="L46" s="129"/>
      <c r="M46" s="162"/>
      <c r="N46" s="165"/>
      <c r="O46" s="93"/>
      <c r="P46" s="155"/>
      <c r="Q46" s="156" t="str">
        <f t="shared" si="19"/>
        <v/>
      </c>
      <c r="R46" s="157" t="str">
        <f t="shared" si="20"/>
        <v/>
      </c>
      <c r="S46" s="158" t="str">
        <f t="shared" si="21"/>
        <v/>
      </c>
      <c r="T46" s="158" t="str">
        <f t="shared" si="22"/>
        <v/>
      </c>
      <c r="U46" s="93"/>
      <c r="V46" s="107" t="str">
        <f t="shared" si="5"/>
        <v/>
      </c>
      <c r="W46" s="107" t="str">
        <f t="shared" si="6"/>
        <v/>
      </c>
    </row>
    <row r="47" ht="18.75" customHeight="1">
      <c r="A47" s="93"/>
      <c r="B47" s="123"/>
      <c r="C47" s="110"/>
      <c r="D47" s="110"/>
      <c r="E47" s="124"/>
      <c r="F47" s="110"/>
      <c r="G47" s="137"/>
      <c r="H47" s="116"/>
      <c r="I47" s="126"/>
      <c r="J47" s="127"/>
      <c r="K47" s="116"/>
      <c r="L47" s="129"/>
      <c r="M47" s="162"/>
      <c r="N47" s="165"/>
      <c r="O47" s="93"/>
      <c r="P47" s="155"/>
      <c r="Q47" s="156" t="str">
        <f t="shared" si="19"/>
        <v/>
      </c>
      <c r="R47" s="157" t="str">
        <f t="shared" si="20"/>
        <v/>
      </c>
      <c r="S47" s="158" t="str">
        <f t="shared" si="21"/>
        <v/>
      </c>
      <c r="T47" s="158" t="str">
        <f t="shared" si="22"/>
        <v/>
      </c>
      <c r="U47" s="93"/>
      <c r="V47" s="107" t="str">
        <f t="shared" si="5"/>
        <v/>
      </c>
      <c r="W47" s="107" t="str">
        <f t="shared" si="6"/>
        <v/>
      </c>
    </row>
    <row r="48" ht="18.75" customHeight="1">
      <c r="A48" s="93"/>
      <c r="B48" s="123"/>
      <c r="C48" s="110"/>
      <c r="D48" s="110"/>
      <c r="E48" s="124"/>
      <c r="F48" s="110"/>
      <c r="G48" s="137"/>
      <c r="H48" s="116"/>
      <c r="I48" s="126"/>
      <c r="J48" s="127"/>
      <c r="K48" s="116"/>
      <c r="L48" s="129"/>
      <c r="M48" s="162"/>
      <c r="N48" s="165"/>
      <c r="O48" s="93"/>
      <c r="P48" s="155"/>
      <c r="Q48" s="156" t="str">
        <f t="shared" si="19"/>
        <v/>
      </c>
      <c r="R48" s="157" t="str">
        <f t="shared" si="20"/>
        <v/>
      </c>
      <c r="S48" s="158" t="str">
        <f t="shared" si="21"/>
        <v/>
      </c>
      <c r="T48" s="158" t="str">
        <f t="shared" si="22"/>
        <v/>
      </c>
      <c r="U48" s="93"/>
      <c r="V48" s="107" t="str">
        <f t="shared" si="5"/>
        <v/>
      </c>
      <c r="W48" s="107" t="str">
        <f t="shared" si="6"/>
        <v/>
      </c>
    </row>
    <row r="49" ht="18.75" customHeight="1">
      <c r="A49" s="93"/>
      <c r="B49" s="123"/>
      <c r="C49" s="110"/>
      <c r="D49" s="110"/>
      <c r="E49" s="124"/>
      <c r="F49" s="110"/>
      <c r="G49" s="137"/>
      <c r="H49" s="116"/>
      <c r="I49" s="126"/>
      <c r="J49" s="127"/>
      <c r="K49" s="116"/>
      <c r="L49" s="129"/>
      <c r="M49" s="162"/>
      <c r="N49" s="165"/>
      <c r="O49" s="93"/>
      <c r="P49" s="155"/>
      <c r="Q49" s="156" t="str">
        <f t="shared" si="19"/>
        <v/>
      </c>
      <c r="R49" s="157" t="str">
        <f t="shared" si="20"/>
        <v/>
      </c>
      <c r="S49" s="158" t="str">
        <f t="shared" si="21"/>
        <v/>
      </c>
      <c r="T49" s="158" t="str">
        <f t="shared" si="22"/>
        <v/>
      </c>
      <c r="U49" s="93"/>
      <c r="V49" s="107" t="str">
        <f t="shared" si="5"/>
        <v/>
      </c>
      <c r="W49" s="107" t="str">
        <f t="shared" si="6"/>
        <v/>
      </c>
    </row>
    <row r="50" ht="18.75" customHeight="1">
      <c r="A50" s="93"/>
      <c r="B50" s="123"/>
      <c r="C50" s="110"/>
      <c r="D50" s="110"/>
      <c r="E50" s="124"/>
      <c r="F50" s="110"/>
      <c r="G50" s="137"/>
      <c r="H50" s="116"/>
      <c r="I50" s="126"/>
      <c r="J50" s="127"/>
      <c r="K50" s="116"/>
      <c r="L50" s="129"/>
      <c r="M50" s="162"/>
      <c r="N50" s="165"/>
      <c r="O50" s="93"/>
      <c r="P50" s="155"/>
      <c r="Q50" s="156" t="str">
        <f t="shared" si="19"/>
        <v/>
      </c>
      <c r="R50" s="157" t="str">
        <f t="shared" si="20"/>
        <v/>
      </c>
      <c r="S50" s="158" t="str">
        <f t="shared" si="21"/>
        <v/>
      </c>
      <c r="T50" s="158" t="str">
        <f t="shared" si="22"/>
        <v/>
      </c>
      <c r="U50" s="93"/>
      <c r="V50" s="107" t="str">
        <f t="shared" si="5"/>
        <v/>
      </c>
      <c r="W50" s="107" t="str">
        <f t="shared" si="6"/>
        <v/>
      </c>
    </row>
    <row r="51" ht="18.75" customHeight="1">
      <c r="A51" s="93"/>
      <c r="B51" s="123"/>
      <c r="C51" s="110"/>
      <c r="D51" s="110"/>
      <c r="E51" s="124"/>
      <c r="F51" s="110"/>
      <c r="G51" s="137"/>
      <c r="H51" s="116"/>
      <c r="I51" s="126"/>
      <c r="J51" s="127"/>
      <c r="K51" s="116"/>
      <c r="L51" s="129"/>
      <c r="M51" s="162"/>
      <c r="N51" s="165"/>
      <c r="O51" s="93"/>
      <c r="P51" s="155"/>
      <c r="Q51" s="156" t="str">
        <f t="shared" si="19"/>
        <v/>
      </c>
      <c r="R51" s="157" t="str">
        <f t="shared" si="20"/>
        <v/>
      </c>
      <c r="S51" s="158" t="str">
        <f t="shared" si="21"/>
        <v/>
      </c>
      <c r="T51" s="158" t="str">
        <f t="shared" si="22"/>
        <v/>
      </c>
      <c r="U51" s="93"/>
      <c r="V51" s="107" t="str">
        <f t="shared" si="5"/>
        <v/>
      </c>
      <c r="W51" s="107" t="str">
        <f t="shared" si="6"/>
        <v/>
      </c>
    </row>
    <row r="52" ht="18.75" customHeight="1">
      <c r="A52" s="93"/>
      <c r="B52" s="123"/>
      <c r="C52" s="110"/>
      <c r="D52" s="110"/>
      <c r="E52" s="124"/>
      <c r="F52" s="110"/>
      <c r="G52" s="137"/>
      <c r="H52" s="116"/>
      <c r="I52" s="126"/>
      <c r="J52" s="127"/>
      <c r="K52" s="116"/>
      <c r="L52" s="129"/>
      <c r="M52" s="162"/>
      <c r="N52" s="165"/>
      <c r="O52" s="93"/>
      <c r="P52" s="155"/>
      <c r="Q52" s="156" t="str">
        <f t="shared" si="19"/>
        <v/>
      </c>
      <c r="R52" s="157" t="str">
        <f t="shared" si="20"/>
        <v/>
      </c>
      <c r="S52" s="158" t="str">
        <f t="shared" si="21"/>
        <v/>
      </c>
      <c r="T52" s="158" t="str">
        <f t="shared" si="22"/>
        <v/>
      </c>
      <c r="U52" s="93"/>
      <c r="V52" s="107" t="str">
        <f t="shared" si="5"/>
        <v/>
      </c>
      <c r="W52" s="107" t="str">
        <f t="shared" si="6"/>
        <v/>
      </c>
    </row>
    <row r="53" ht="18.75" customHeight="1">
      <c r="A53" s="93"/>
      <c r="B53" s="123"/>
      <c r="C53" s="110"/>
      <c r="D53" s="110"/>
      <c r="E53" s="124"/>
      <c r="F53" s="110"/>
      <c r="G53" s="137"/>
      <c r="H53" s="116"/>
      <c r="I53" s="126"/>
      <c r="J53" s="127"/>
      <c r="K53" s="116"/>
      <c r="L53" s="129"/>
      <c r="M53" s="162"/>
      <c r="N53" s="165"/>
      <c r="O53" s="93"/>
      <c r="P53" s="155"/>
      <c r="Q53" s="156" t="str">
        <f t="shared" si="19"/>
        <v/>
      </c>
      <c r="R53" s="157" t="str">
        <f t="shared" si="20"/>
        <v/>
      </c>
      <c r="S53" s="158" t="str">
        <f t="shared" si="21"/>
        <v/>
      </c>
      <c r="T53" s="158" t="str">
        <f t="shared" si="22"/>
        <v/>
      </c>
      <c r="U53" s="93"/>
      <c r="V53" s="107" t="str">
        <f t="shared" si="5"/>
        <v/>
      </c>
      <c r="W53" s="107" t="str">
        <f t="shared" si="6"/>
        <v/>
      </c>
    </row>
    <row r="54" ht="18.75" customHeight="1">
      <c r="A54" s="93"/>
      <c r="B54" s="123"/>
      <c r="C54" s="110"/>
      <c r="D54" s="110"/>
      <c r="E54" s="124"/>
      <c r="F54" s="110"/>
      <c r="G54" s="137"/>
      <c r="H54" s="116"/>
      <c r="I54" s="126"/>
      <c r="J54" s="127"/>
      <c r="K54" s="116"/>
      <c r="L54" s="129"/>
      <c r="M54" s="162"/>
      <c r="N54" s="165"/>
      <c r="O54" s="93"/>
      <c r="P54" s="155"/>
      <c r="Q54" s="156" t="str">
        <f t="shared" si="19"/>
        <v/>
      </c>
      <c r="R54" s="157" t="str">
        <f t="shared" si="20"/>
        <v/>
      </c>
      <c r="S54" s="158" t="str">
        <f t="shared" si="21"/>
        <v/>
      </c>
      <c r="T54" s="158" t="str">
        <f t="shared" si="22"/>
        <v/>
      </c>
      <c r="U54" s="93"/>
      <c r="V54" s="107" t="str">
        <f t="shared" si="5"/>
        <v/>
      </c>
      <c r="W54" s="107" t="str">
        <f t="shared" si="6"/>
        <v/>
      </c>
    </row>
    <row r="55" ht="18.75" customHeight="1">
      <c r="A55" s="93"/>
      <c r="B55" s="123"/>
      <c r="C55" s="110"/>
      <c r="D55" s="110"/>
      <c r="E55" s="124"/>
      <c r="F55" s="110"/>
      <c r="G55" s="137"/>
      <c r="H55" s="116"/>
      <c r="I55" s="126"/>
      <c r="J55" s="127"/>
      <c r="K55" s="116"/>
      <c r="L55" s="129"/>
      <c r="M55" s="162"/>
      <c r="N55" s="165"/>
      <c r="O55" s="93"/>
      <c r="P55" s="155"/>
      <c r="Q55" s="156" t="str">
        <f t="shared" si="19"/>
        <v/>
      </c>
      <c r="R55" s="157" t="str">
        <f t="shared" si="20"/>
        <v/>
      </c>
      <c r="S55" s="158" t="str">
        <f t="shared" si="21"/>
        <v/>
      </c>
      <c r="T55" s="158" t="str">
        <f t="shared" si="22"/>
        <v/>
      </c>
      <c r="U55" s="93"/>
      <c r="V55" s="107" t="str">
        <f t="shared" si="5"/>
        <v/>
      </c>
      <c r="W55" s="107" t="str">
        <f t="shared" si="6"/>
        <v/>
      </c>
    </row>
    <row r="56" ht="18.75" customHeight="1">
      <c r="A56" s="93"/>
      <c r="B56" s="93"/>
      <c r="C56" s="166"/>
      <c r="D56" s="166"/>
      <c r="E56" s="167"/>
      <c r="F56" s="166"/>
      <c r="G56" s="168"/>
      <c r="H56" s="169"/>
      <c r="I56" s="170"/>
      <c r="J56" s="171"/>
      <c r="K56" s="169"/>
      <c r="L56" s="172"/>
      <c r="M56" s="173"/>
      <c r="N56" s="174"/>
      <c r="O56" s="93"/>
      <c r="P56" s="155"/>
      <c r="Q56" s="156" t="str">
        <f t="shared" si="19"/>
        <v/>
      </c>
      <c r="R56" s="157" t="str">
        <f t="shared" si="20"/>
        <v/>
      </c>
      <c r="S56" s="158" t="str">
        <f t="shared" si="21"/>
        <v/>
      </c>
      <c r="T56" s="158" t="str">
        <f t="shared" si="22"/>
        <v/>
      </c>
      <c r="U56" s="93"/>
      <c r="V56" s="107" t="str">
        <f t="shared" si="5"/>
        <v/>
      </c>
      <c r="W56" s="107" t="str">
        <f t="shared" si="6"/>
        <v/>
      </c>
    </row>
    <row r="57" ht="18.75" customHeight="1">
      <c r="A57" s="93"/>
      <c r="B57" s="93"/>
      <c r="C57" s="166"/>
      <c r="D57" s="166"/>
      <c r="E57" s="167"/>
      <c r="F57" s="166"/>
      <c r="G57" s="168"/>
      <c r="H57" s="169"/>
      <c r="I57" s="170"/>
      <c r="J57" s="171"/>
      <c r="K57" s="169"/>
      <c r="L57" s="175"/>
      <c r="M57" s="176"/>
      <c r="N57" s="174"/>
      <c r="O57" s="93"/>
      <c r="P57" s="155"/>
      <c r="Q57" s="156" t="str">
        <f t="shared" si="19"/>
        <v/>
      </c>
      <c r="R57" s="157" t="str">
        <f t="shared" si="20"/>
        <v/>
      </c>
      <c r="S57" s="158" t="str">
        <f t="shared" si="21"/>
        <v/>
      </c>
      <c r="T57" s="158" t="str">
        <f t="shared" si="22"/>
        <v/>
      </c>
      <c r="U57" s="93"/>
      <c r="V57" s="107" t="str">
        <f t="shared" si="5"/>
        <v/>
      </c>
      <c r="W57" s="107" t="str">
        <f t="shared" si="6"/>
        <v/>
      </c>
    </row>
    <row r="58" ht="18.75" customHeight="1">
      <c r="A58" s="93"/>
      <c r="B58" s="93"/>
      <c r="C58" s="166"/>
      <c r="D58" s="166"/>
      <c r="E58" s="166"/>
      <c r="F58" s="166"/>
      <c r="G58" s="177"/>
      <c r="H58" s="178"/>
      <c r="I58" s="170"/>
      <c r="J58" s="169"/>
      <c r="K58" s="169"/>
      <c r="L58" s="179"/>
      <c r="M58" s="180"/>
      <c r="N58" s="181"/>
      <c r="O58" s="93"/>
      <c r="P58" s="155"/>
      <c r="Q58" s="156" t="str">
        <f t="shared" si="19"/>
        <v/>
      </c>
      <c r="R58" s="157" t="str">
        <f t="shared" si="20"/>
        <v/>
      </c>
      <c r="S58" s="158" t="str">
        <f t="shared" si="21"/>
        <v/>
      </c>
      <c r="T58" s="158" t="str">
        <f t="shared" si="22"/>
        <v/>
      </c>
      <c r="U58" s="93"/>
      <c r="V58" s="107" t="str">
        <f t="shared" si="5"/>
        <v/>
      </c>
      <c r="W58" s="107" t="str">
        <f t="shared" si="6"/>
        <v/>
      </c>
    </row>
    <row r="59" ht="18.75" customHeight="1">
      <c r="A59" s="93"/>
      <c r="B59" s="93"/>
      <c r="C59" s="166"/>
      <c r="D59" s="166"/>
      <c r="E59" s="166"/>
      <c r="F59" s="166"/>
      <c r="G59" s="177"/>
      <c r="H59" s="182"/>
      <c r="I59" s="170"/>
      <c r="J59" s="169"/>
      <c r="K59" s="169"/>
      <c r="L59" s="183"/>
      <c r="M59" s="180"/>
      <c r="N59" s="181"/>
      <c r="O59" s="93"/>
      <c r="P59" s="93"/>
      <c r="Q59" s="93" t="str">
        <f t="shared" si="19"/>
        <v/>
      </c>
      <c r="R59" s="93" t="str">
        <f t="shared" si="20"/>
        <v/>
      </c>
      <c r="S59" s="93" t="str">
        <f t="shared" si="21"/>
        <v/>
      </c>
      <c r="T59" s="93" t="str">
        <f t="shared" si="22"/>
        <v/>
      </c>
      <c r="U59" s="93"/>
      <c r="V59" s="107" t="str">
        <f t="shared" si="5"/>
        <v/>
      </c>
      <c r="W59" s="107" t="str">
        <f t="shared" si="6"/>
        <v/>
      </c>
    </row>
    <row r="60" ht="18.75" customHeight="1">
      <c r="A60" s="93"/>
      <c r="B60" s="93"/>
      <c r="C60" s="166"/>
      <c r="D60" s="166"/>
      <c r="E60" s="166"/>
      <c r="F60" s="166"/>
      <c r="G60" s="177"/>
      <c r="H60" s="182"/>
      <c r="I60" s="170"/>
      <c r="J60" s="169"/>
      <c r="K60" s="169"/>
      <c r="L60" s="183"/>
      <c r="M60" s="180"/>
      <c r="N60" s="181"/>
      <c r="O60" s="93"/>
      <c r="P60" s="93"/>
      <c r="Q60" s="93" t="str">
        <f t="shared" si="19"/>
        <v/>
      </c>
      <c r="R60" s="93" t="str">
        <f t="shared" si="20"/>
        <v/>
      </c>
      <c r="S60" s="93" t="str">
        <f t="shared" si="21"/>
        <v/>
      </c>
      <c r="T60" s="93" t="str">
        <f t="shared" si="22"/>
        <v/>
      </c>
      <c r="U60" s="93"/>
      <c r="V60" s="107" t="str">
        <f t="shared" si="5"/>
        <v/>
      </c>
      <c r="W60" s="107" t="str">
        <f t="shared" si="6"/>
        <v/>
      </c>
    </row>
    <row r="61" ht="18.75" customHeight="1">
      <c r="A61" s="93"/>
      <c r="B61" s="93"/>
      <c r="C61" s="166"/>
      <c r="D61" s="166"/>
      <c r="E61" s="166"/>
      <c r="F61" s="166"/>
      <c r="G61" s="177"/>
      <c r="H61" s="182"/>
      <c r="I61" s="170"/>
      <c r="J61" s="169"/>
      <c r="K61" s="169"/>
      <c r="L61" s="183"/>
      <c r="M61" s="180"/>
      <c r="N61" s="181"/>
      <c r="O61" s="93"/>
      <c r="P61" s="93"/>
      <c r="Q61" s="93" t="str">
        <f t="shared" si="19"/>
        <v/>
      </c>
      <c r="R61" s="93" t="str">
        <f t="shared" si="20"/>
        <v/>
      </c>
      <c r="S61" s="93" t="str">
        <f t="shared" si="21"/>
        <v/>
      </c>
      <c r="T61" s="93" t="str">
        <f t="shared" si="22"/>
        <v/>
      </c>
      <c r="U61" s="93"/>
      <c r="V61" s="107" t="str">
        <f t="shared" si="5"/>
        <v/>
      </c>
      <c r="W61" s="107" t="str">
        <f t="shared" si="6"/>
        <v/>
      </c>
    </row>
    <row r="62" ht="18.75" customHeight="1">
      <c r="A62" s="93"/>
      <c r="B62" s="93"/>
      <c r="C62" s="166"/>
      <c r="D62" s="166"/>
      <c r="E62" s="166"/>
      <c r="F62" s="166"/>
      <c r="G62" s="177"/>
      <c r="H62" s="182"/>
      <c r="I62" s="170"/>
      <c r="J62" s="169"/>
      <c r="K62" s="169"/>
      <c r="L62" s="183"/>
      <c r="M62" s="180"/>
      <c r="N62" s="181"/>
      <c r="O62" s="93"/>
      <c r="P62" s="93"/>
      <c r="Q62" s="93" t="str">
        <f t="shared" si="19"/>
        <v/>
      </c>
      <c r="R62" s="93" t="str">
        <f t="shared" si="20"/>
        <v/>
      </c>
      <c r="S62" s="93" t="str">
        <f t="shared" si="21"/>
        <v/>
      </c>
      <c r="T62" s="93" t="str">
        <f t="shared" si="22"/>
        <v/>
      </c>
      <c r="U62" s="93"/>
      <c r="V62" s="107" t="str">
        <f t="shared" si="5"/>
        <v/>
      </c>
      <c r="W62" s="107" t="str">
        <f t="shared" si="6"/>
        <v/>
      </c>
    </row>
    <row r="63" ht="18.75" customHeight="1">
      <c r="A63" s="93"/>
      <c r="B63" s="93"/>
      <c r="C63" s="166"/>
      <c r="D63" s="166"/>
      <c r="E63" s="166"/>
      <c r="F63" s="166"/>
      <c r="G63" s="177"/>
      <c r="H63" s="182"/>
      <c r="I63" s="170"/>
      <c r="J63" s="169"/>
      <c r="K63" s="169"/>
      <c r="L63" s="183"/>
      <c r="M63" s="180"/>
      <c r="N63" s="181"/>
      <c r="O63" s="93"/>
      <c r="P63" s="93"/>
      <c r="Q63" s="93" t="str">
        <f t="shared" si="19"/>
        <v/>
      </c>
      <c r="R63" s="93" t="str">
        <f t="shared" si="20"/>
        <v/>
      </c>
      <c r="S63" s="93" t="str">
        <f t="shared" si="21"/>
        <v/>
      </c>
      <c r="T63" s="93" t="str">
        <f t="shared" si="22"/>
        <v/>
      </c>
      <c r="U63" s="93"/>
      <c r="V63" s="107" t="str">
        <f t="shared" si="5"/>
        <v/>
      </c>
      <c r="W63" s="107" t="str">
        <f t="shared" si="6"/>
        <v/>
      </c>
    </row>
    <row r="64" ht="18.75" customHeight="1">
      <c r="A64" s="93"/>
      <c r="B64" s="93"/>
      <c r="C64" s="166"/>
      <c r="D64" s="166"/>
      <c r="E64" s="166"/>
      <c r="F64" s="166"/>
      <c r="G64" s="177"/>
      <c r="H64" s="182"/>
      <c r="I64" s="170"/>
      <c r="J64" s="169"/>
      <c r="K64" s="169"/>
      <c r="L64" s="183"/>
      <c r="M64" s="180"/>
      <c r="N64" s="181"/>
      <c r="O64" s="93"/>
      <c r="P64" s="93"/>
      <c r="Q64" s="93" t="str">
        <f t="shared" si="19"/>
        <v/>
      </c>
      <c r="R64" s="93" t="str">
        <f t="shared" si="20"/>
        <v/>
      </c>
      <c r="S64" s="93" t="str">
        <f t="shared" si="21"/>
        <v/>
      </c>
      <c r="T64" s="93" t="str">
        <f t="shared" si="22"/>
        <v/>
      </c>
      <c r="U64" s="93"/>
      <c r="V64" s="107" t="str">
        <f t="shared" si="5"/>
        <v/>
      </c>
      <c r="W64" s="107" t="str">
        <f t="shared" si="6"/>
        <v/>
      </c>
    </row>
    <row r="65" ht="18.75" customHeight="1">
      <c r="A65" s="93"/>
      <c r="B65" s="93"/>
      <c r="C65" s="166"/>
      <c r="D65" s="166"/>
      <c r="E65" s="166"/>
      <c r="F65" s="166"/>
      <c r="G65" s="177"/>
      <c r="H65" s="182"/>
      <c r="I65" s="170"/>
      <c r="J65" s="169"/>
      <c r="K65" s="169"/>
      <c r="L65" s="183"/>
      <c r="M65" s="180"/>
      <c r="N65" s="181"/>
      <c r="O65" s="93"/>
      <c r="P65" s="93"/>
      <c r="Q65" s="93" t="str">
        <f t="shared" si="19"/>
        <v/>
      </c>
      <c r="R65" s="93" t="str">
        <f t="shared" si="20"/>
        <v/>
      </c>
      <c r="S65" s="93" t="str">
        <f t="shared" si="21"/>
        <v/>
      </c>
      <c r="T65" s="93" t="str">
        <f t="shared" si="22"/>
        <v/>
      </c>
      <c r="U65" s="93"/>
      <c r="V65" s="107" t="str">
        <f t="shared" si="5"/>
        <v/>
      </c>
      <c r="W65" s="107" t="str">
        <f t="shared" si="6"/>
        <v/>
      </c>
    </row>
    <row r="66" ht="18.75" customHeight="1">
      <c r="A66" s="93"/>
      <c r="B66" s="93"/>
      <c r="C66" s="166"/>
      <c r="D66" s="166"/>
      <c r="E66" s="166"/>
      <c r="F66" s="166"/>
      <c r="G66" s="177"/>
      <c r="H66" s="182"/>
      <c r="I66" s="170"/>
      <c r="J66" s="169"/>
      <c r="K66" s="169"/>
      <c r="L66" s="183"/>
      <c r="M66" s="180"/>
      <c r="N66" s="181"/>
      <c r="O66" s="93"/>
      <c r="P66" s="93"/>
      <c r="Q66" s="93" t="str">
        <f t="shared" si="19"/>
        <v/>
      </c>
      <c r="R66" s="93" t="str">
        <f t="shared" si="20"/>
        <v/>
      </c>
      <c r="S66" s="93" t="str">
        <f t="shared" si="21"/>
        <v/>
      </c>
      <c r="T66" s="93" t="str">
        <f t="shared" si="22"/>
        <v/>
      </c>
      <c r="U66" s="93"/>
      <c r="V66" s="107" t="str">
        <f t="shared" si="5"/>
        <v/>
      </c>
      <c r="W66" s="107" t="str">
        <f t="shared" si="6"/>
        <v/>
      </c>
    </row>
    <row r="67" ht="18.75" customHeight="1">
      <c r="A67" s="93"/>
      <c r="B67" s="93"/>
      <c r="C67" s="166"/>
      <c r="D67" s="166"/>
      <c r="E67" s="166"/>
      <c r="F67" s="166"/>
      <c r="G67" s="177"/>
      <c r="H67" s="182"/>
      <c r="I67" s="170"/>
      <c r="J67" s="169"/>
      <c r="K67" s="169"/>
      <c r="L67" s="183"/>
      <c r="M67" s="180"/>
      <c r="N67" s="181"/>
      <c r="O67" s="93"/>
      <c r="P67" s="93"/>
      <c r="Q67" s="93" t="str">
        <f t="shared" si="19"/>
        <v/>
      </c>
      <c r="R67" s="93" t="str">
        <f t="shared" si="20"/>
        <v/>
      </c>
      <c r="S67" s="93" t="str">
        <f t="shared" si="21"/>
        <v/>
      </c>
      <c r="T67" s="93" t="str">
        <f t="shared" si="22"/>
        <v/>
      </c>
      <c r="U67" s="93"/>
      <c r="V67" s="107" t="str">
        <f t="shared" si="5"/>
        <v/>
      </c>
      <c r="W67" s="107" t="str">
        <f t="shared" si="6"/>
        <v/>
      </c>
    </row>
    <row r="68" ht="18.75" customHeight="1">
      <c r="A68" s="93"/>
      <c r="B68" s="93"/>
      <c r="C68" s="166"/>
      <c r="D68" s="166"/>
      <c r="E68" s="166"/>
      <c r="F68" s="166"/>
      <c r="G68" s="177"/>
      <c r="H68" s="182"/>
      <c r="I68" s="170"/>
      <c r="J68" s="169"/>
      <c r="K68" s="169"/>
      <c r="L68" s="183"/>
      <c r="M68" s="180"/>
      <c r="N68" s="181"/>
      <c r="O68" s="93"/>
      <c r="P68" s="93"/>
      <c r="Q68" s="93" t="str">
        <f t="shared" si="19"/>
        <v/>
      </c>
      <c r="R68" s="93" t="str">
        <f t="shared" si="20"/>
        <v/>
      </c>
      <c r="S68" s="93" t="str">
        <f t="shared" si="21"/>
        <v/>
      </c>
      <c r="T68" s="93" t="str">
        <f t="shared" si="22"/>
        <v/>
      </c>
      <c r="U68" s="93"/>
      <c r="V68" s="107" t="str">
        <f t="shared" si="5"/>
        <v/>
      </c>
      <c r="W68" s="107" t="str">
        <f t="shared" si="6"/>
        <v/>
      </c>
    </row>
    <row r="69" ht="18.75" customHeight="1">
      <c r="A69" s="93"/>
      <c r="B69" s="93"/>
      <c r="C69" s="166"/>
      <c r="D69" s="166"/>
      <c r="E69" s="166"/>
      <c r="F69" s="166"/>
      <c r="G69" s="177"/>
      <c r="H69" s="182"/>
      <c r="I69" s="170"/>
      <c r="J69" s="169"/>
      <c r="K69" s="169"/>
      <c r="L69" s="183"/>
      <c r="M69" s="180"/>
      <c r="N69" s="181"/>
      <c r="O69" s="93"/>
      <c r="P69" s="93"/>
      <c r="Q69" s="93" t="str">
        <f t="shared" si="19"/>
        <v/>
      </c>
      <c r="R69" s="93" t="str">
        <f t="shared" si="20"/>
        <v/>
      </c>
      <c r="S69" s="93" t="str">
        <f t="shared" si="21"/>
        <v/>
      </c>
      <c r="T69" s="93" t="str">
        <f t="shared" si="22"/>
        <v/>
      </c>
      <c r="U69" s="93"/>
      <c r="V69" s="107" t="str">
        <f t="shared" si="5"/>
        <v/>
      </c>
      <c r="W69" s="107" t="str">
        <f t="shared" si="6"/>
        <v/>
      </c>
    </row>
    <row r="70" ht="18.75" customHeight="1">
      <c r="A70" s="93"/>
      <c r="B70" s="93"/>
      <c r="C70" s="166"/>
      <c r="D70" s="166"/>
      <c r="E70" s="166"/>
      <c r="F70" s="166"/>
      <c r="G70" s="177"/>
      <c r="H70" s="182"/>
      <c r="I70" s="170"/>
      <c r="J70" s="169"/>
      <c r="K70" s="169"/>
      <c r="L70" s="183"/>
      <c r="M70" s="180"/>
      <c r="N70" s="181"/>
      <c r="O70" s="93"/>
      <c r="P70" s="93"/>
      <c r="Q70" s="93" t="str">
        <f t="shared" si="19"/>
        <v/>
      </c>
      <c r="R70" s="93" t="str">
        <f t="shared" si="20"/>
        <v/>
      </c>
      <c r="S70" s="93" t="str">
        <f t="shared" si="21"/>
        <v/>
      </c>
      <c r="T70" s="93" t="str">
        <f t="shared" si="22"/>
        <v/>
      </c>
      <c r="U70" s="93"/>
      <c r="V70" s="107" t="str">
        <f t="shared" si="5"/>
        <v/>
      </c>
      <c r="W70" s="107" t="str">
        <f t="shared" si="6"/>
        <v/>
      </c>
    </row>
    <row r="71" ht="18.75" customHeight="1">
      <c r="A71" s="93"/>
      <c r="B71" s="93"/>
      <c r="C71" s="166"/>
      <c r="D71" s="166"/>
      <c r="E71" s="166"/>
      <c r="F71" s="166"/>
      <c r="G71" s="177"/>
      <c r="H71" s="182"/>
      <c r="I71" s="170"/>
      <c r="J71" s="169"/>
      <c r="K71" s="169"/>
      <c r="L71" s="183"/>
      <c r="M71" s="180"/>
      <c r="N71" s="181"/>
      <c r="O71" s="93"/>
      <c r="P71" s="93"/>
      <c r="Q71" s="93" t="str">
        <f t="shared" si="19"/>
        <v/>
      </c>
      <c r="R71" s="93" t="str">
        <f t="shared" si="20"/>
        <v/>
      </c>
      <c r="S71" s="93" t="str">
        <f t="shared" si="21"/>
        <v/>
      </c>
      <c r="T71" s="93" t="str">
        <f t="shared" si="22"/>
        <v/>
      </c>
      <c r="U71" s="93"/>
      <c r="V71" s="107" t="str">
        <f t="shared" si="5"/>
        <v/>
      </c>
      <c r="W71" s="107" t="str">
        <f t="shared" si="6"/>
        <v/>
      </c>
    </row>
    <row r="72" ht="18.75" customHeight="1">
      <c r="A72" s="93"/>
      <c r="B72" s="93"/>
      <c r="C72" s="166"/>
      <c r="D72" s="166"/>
      <c r="E72" s="166"/>
      <c r="F72" s="166"/>
      <c r="G72" s="177"/>
      <c r="H72" s="182"/>
      <c r="I72" s="170"/>
      <c r="J72" s="169"/>
      <c r="K72" s="169"/>
      <c r="L72" s="183"/>
      <c r="M72" s="180"/>
      <c r="N72" s="181"/>
      <c r="O72" s="93"/>
      <c r="P72" s="93"/>
      <c r="Q72" s="93" t="str">
        <f t="shared" si="19"/>
        <v/>
      </c>
      <c r="R72" s="93" t="str">
        <f t="shared" si="20"/>
        <v/>
      </c>
      <c r="S72" s="93" t="str">
        <f t="shared" si="21"/>
        <v/>
      </c>
      <c r="T72" s="93" t="str">
        <f t="shared" si="22"/>
        <v/>
      </c>
      <c r="U72" s="93"/>
      <c r="V72" s="107" t="str">
        <f t="shared" si="5"/>
        <v/>
      </c>
      <c r="W72" s="107" t="str">
        <f t="shared" si="6"/>
        <v/>
      </c>
    </row>
    <row r="73" ht="18.75" customHeight="1">
      <c r="A73" s="93"/>
      <c r="B73" s="93"/>
      <c r="C73" s="166"/>
      <c r="D73" s="166"/>
      <c r="E73" s="166"/>
      <c r="F73" s="166"/>
      <c r="G73" s="177"/>
      <c r="H73" s="182"/>
      <c r="I73" s="170"/>
      <c r="J73" s="169"/>
      <c r="K73" s="169"/>
      <c r="L73" s="183"/>
      <c r="M73" s="180"/>
      <c r="N73" s="181"/>
      <c r="O73" s="93"/>
      <c r="P73" s="93"/>
      <c r="Q73" s="93" t="str">
        <f t="shared" si="19"/>
        <v/>
      </c>
      <c r="R73" s="93" t="str">
        <f t="shared" si="20"/>
        <v/>
      </c>
      <c r="S73" s="93" t="str">
        <f t="shared" si="21"/>
        <v/>
      </c>
      <c r="T73" s="93" t="str">
        <f t="shared" si="22"/>
        <v/>
      </c>
      <c r="U73" s="93"/>
      <c r="V73" s="107" t="str">
        <f t="shared" si="5"/>
        <v/>
      </c>
      <c r="W73" s="107" t="str">
        <f t="shared" si="6"/>
        <v/>
      </c>
    </row>
    <row r="74" ht="18.75" customHeight="1">
      <c r="A74" s="93"/>
      <c r="B74" s="93"/>
      <c r="C74" s="166"/>
      <c r="D74" s="166"/>
      <c r="E74" s="166"/>
      <c r="F74" s="166"/>
      <c r="G74" s="177"/>
      <c r="H74" s="182"/>
      <c r="I74" s="170"/>
      <c r="J74" s="169"/>
      <c r="K74" s="169"/>
      <c r="L74" s="183"/>
      <c r="M74" s="180"/>
      <c r="N74" s="181"/>
      <c r="O74" s="93"/>
      <c r="P74" s="93"/>
      <c r="Q74" s="93" t="str">
        <f t="shared" si="19"/>
        <v/>
      </c>
      <c r="R74" s="93" t="str">
        <f t="shared" si="20"/>
        <v/>
      </c>
      <c r="S74" s="93" t="str">
        <f t="shared" si="21"/>
        <v/>
      </c>
      <c r="T74" s="93" t="str">
        <f t="shared" si="22"/>
        <v/>
      </c>
      <c r="U74" s="93"/>
      <c r="V74" s="107" t="str">
        <f t="shared" si="5"/>
        <v/>
      </c>
      <c r="W74" s="107" t="str">
        <f t="shared" si="6"/>
        <v/>
      </c>
    </row>
    <row r="75" ht="18.75" customHeight="1">
      <c r="A75" s="93"/>
      <c r="B75" s="93"/>
      <c r="C75" s="166"/>
      <c r="D75" s="166"/>
      <c r="E75" s="166"/>
      <c r="F75" s="166"/>
      <c r="G75" s="177"/>
      <c r="H75" s="182"/>
      <c r="I75" s="170"/>
      <c r="J75" s="169"/>
      <c r="K75" s="169"/>
      <c r="L75" s="183"/>
      <c r="M75" s="180"/>
      <c r="N75" s="181"/>
      <c r="O75" s="93"/>
      <c r="P75" s="93"/>
      <c r="Q75" s="93" t="str">
        <f t="shared" si="19"/>
        <v/>
      </c>
      <c r="R75" s="93" t="str">
        <f t="shared" si="20"/>
        <v/>
      </c>
      <c r="S75" s="93" t="str">
        <f t="shared" si="21"/>
        <v/>
      </c>
      <c r="T75" s="93" t="str">
        <f t="shared" si="22"/>
        <v/>
      </c>
      <c r="U75" s="93"/>
      <c r="V75" s="107" t="str">
        <f t="shared" si="5"/>
        <v/>
      </c>
      <c r="W75" s="107" t="str">
        <f t="shared" si="6"/>
        <v/>
      </c>
    </row>
    <row r="76" ht="18.75" customHeight="1">
      <c r="A76" s="93"/>
      <c r="B76" s="93"/>
      <c r="C76" s="166"/>
      <c r="D76" s="166"/>
      <c r="E76" s="166"/>
      <c r="F76" s="166"/>
      <c r="G76" s="177"/>
      <c r="H76" s="182"/>
      <c r="I76" s="170"/>
      <c r="J76" s="169"/>
      <c r="K76" s="169"/>
      <c r="L76" s="183"/>
      <c r="M76" s="180"/>
      <c r="N76" s="181"/>
      <c r="O76" s="93"/>
      <c r="P76" s="93"/>
      <c r="Q76" s="93" t="str">
        <f t="shared" si="19"/>
        <v/>
      </c>
      <c r="R76" s="93" t="str">
        <f t="shared" si="20"/>
        <v/>
      </c>
      <c r="S76" s="93" t="str">
        <f t="shared" si="21"/>
        <v/>
      </c>
      <c r="T76" s="93" t="str">
        <f t="shared" si="22"/>
        <v/>
      </c>
      <c r="U76" s="93"/>
      <c r="V76" s="107" t="str">
        <f t="shared" si="5"/>
        <v/>
      </c>
      <c r="W76" s="107" t="str">
        <f t="shared" si="6"/>
        <v/>
      </c>
    </row>
    <row r="77" ht="18.75" customHeight="1">
      <c r="A77" s="93"/>
      <c r="B77" s="93"/>
      <c r="C77" s="166"/>
      <c r="D77" s="166"/>
      <c r="E77" s="166"/>
      <c r="F77" s="166"/>
      <c r="G77" s="177"/>
      <c r="H77" s="182"/>
      <c r="I77" s="170"/>
      <c r="J77" s="169"/>
      <c r="K77" s="169"/>
      <c r="L77" s="183"/>
      <c r="M77" s="180"/>
      <c r="N77" s="181"/>
      <c r="O77" s="93"/>
      <c r="P77" s="93"/>
      <c r="Q77" s="93" t="str">
        <f t="shared" si="19"/>
        <v/>
      </c>
      <c r="R77" s="93" t="str">
        <f t="shared" si="20"/>
        <v/>
      </c>
      <c r="S77" s="93" t="str">
        <f t="shared" si="21"/>
        <v/>
      </c>
      <c r="T77" s="93" t="str">
        <f t="shared" si="22"/>
        <v/>
      </c>
      <c r="U77" s="93"/>
      <c r="V77" s="107" t="str">
        <f t="shared" si="5"/>
        <v/>
      </c>
      <c r="W77" s="107" t="str">
        <f t="shared" si="6"/>
        <v/>
      </c>
    </row>
    <row r="78" ht="18.75" customHeight="1">
      <c r="A78" s="93"/>
      <c r="B78" s="93"/>
      <c r="C78" s="166"/>
      <c r="D78" s="166"/>
      <c r="E78" s="166"/>
      <c r="F78" s="166"/>
      <c r="G78" s="177"/>
      <c r="H78" s="182"/>
      <c r="I78" s="170"/>
      <c r="J78" s="169"/>
      <c r="K78" s="169"/>
      <c r="L78" s="183"/>
      <c r="M78" s="180"/>
      <c r="N78" s="181"/>
      <c r="O78" s="93"/>
      <c r="P78" s="93"/>
      <c r="Q78" s="93" t="str">
        <f t="shared" ref="Q78:Q90" si="23">if(P78="","", sumif(V$3:W120,P78,G$3:G120))</f>
        <v/>
      </c>
      <c r="R78" s="93" t="str">
        <f t="shared" si="20"/>
        <v/>
      </c>
      <c r="S78" s="93" t="str">
        <f t="shared" si="21"/>
        <v/>
      </c>
      <c r="T78" s="93" t="str">
        <f t="shared" si="22"/>
        <v/>
      </c>
      <c r="U78" s="93"/>
      <c r="V78" s="107" t="str">
        <f t="shared" si="5"/>
        <v/>
      </c>
      <c r="W78" s="107" t="str">
        <f t="shared" si="6"/>
        <v/>
      </c>
    </row>
    <row r="79" ht="18.75" customHeight="1">
      <c r="A79" s="93"/>
      <c r="B79" s="93"/>
      <c r="C79" s="166"/>
      <c r="D79" s="166"/>
      <c r="E79" s="166"/>
      <c r="F79" s="166"/>
      <c r="G79" s="177"/>
      <c r="H79" s="182"/>
      <c r="I79" s="170"/>
      <c r="J79" s="169"/>
      <c r="K79" s="169"/>
      <c r="L79" s="183"/>
      <c r="M79" s="180"/>
      <c r="N79" s="181"/>
      <c r="O79" s="93"/>
      <c r="P79" s="93"/>
      <c r="Q79" s="93" t="str">
        <f t="shared" si="23"/>
        <v/>
      </c>
      <c r="R79" s="93" t="str">
        <f t="shared" si="20"/>
        <v/>
      </c>
      <c r="S79" s="93" t="str">
        <f t="shared" si="21"/>
        <v/>
      </c>
      <c r="T79" s="93" t="str">
        <f t="shared" si="22"/>
        <v/>
      </c>
      <c r="U79" s="93"/>
      <c r="V79" s="107" t="str">
        <f t="shared" si="5"/>
        <v/>
      </c>
      <c r="W79" s="107" t="str">
        <f t="shared" si="6"/>
        <v/>
      </c>
    </row>
    <row r="80" ht="18.75" customHeight="1">
      <c r="A80" s="93"/>
      <c r="B80" s="93"/>
      <c r="C80" s="166"/>
      <c r="D80" s="166"/>
      <c r="E80" s="166"/>
      <c r="F80" s="166"/>
      <c r="G80" s="177"/>
      <c r="H80" s="182"/>
      <c r="I80" s="170"/>
      <c r="J80" s="169"/>
      <c r="K80" s="169"/>
      <c r="L80" s="183"/>
      <c r="M80" s="180"/>
      <c r="N80" s="181"/>
      <c r="O80" s="93"/>
      <c r="P80" s="93"/>
      <c r="Q80" s="93" t="str">
        <f t="shared" si="23"/>
        <v/>
      </c>
      <c r="R80" s="93" t="str">
        <f t="shared" si="20"/>
        <v/>
      </c>
      <c r="S80" s="93" t="str">
        <f t="shared" si="21"/>
        <v/>
      </c>
      <c r="T80" s="93" t="str">
        <f t="shared" si="22"/>
        <v/>
      </c>
      <c r="U80" s="93"/>
      <c r="V80" s="107" t="str">
        <f t="shared" si="5"/>
        <v/>
      </c>
      <c r="W80" s="107" t="str">
        <f t="shared" si="6"/>
        <v/>
      </c>
    </row>
    <row r="81" ht="18.75" customHeight="1">
      <c r="A81" s="93"/>
      <c r="B81" s="93"/>
      <c r="C81" s="166"/>
      <c r="D81" s="166"/>
      <c r="E81" s="166"/>
      <c r="F81" s="166"/>
      <c r="G81" s="177"/>
      <c r="H81" s="182"/>
      <c r="I81" s="170"/>
      <c r="J81" s="169"/>
      <c r="K81" s="169"/>
      <c r="L81" s="183"/>
      <c r="M81" s="180"/>
      <c r="N81" s="181"/>
      <c r="O81" s="93"/>
      <c r="P81" s="93"/>
      <c r="Q81" s="93" t="str">
        <f t="shared" si="23"/>
        <v/>
      </c>
      <c r="R81" s="93" t="str">
        <f t="shared" si="20"/>
        <v/>
      </c>
      <c r="S81" s="93" t="str">
        <f t="shared" si="21"/>
        <v/>
      </c>
      <c r="T81" s="93" t="str">
        <f t="shared" si="22"/>
        <v/>
      </c>
      <c r="U81" s="93"/>
      <c r="V81" s="107" t="str">
        <f t="shared" si="5"/>
        <v/>
      </c>
      <c r="W81" s="107" t="str">
        <f t="shared" si="6"/>
        <v/>
      </c>
    </row>
    <row r="82" ht="18.75" customHeight="1">
      <c r="A82" s="93"/>
      <c r="B82" s="93"/>
      <c r="C82" s="166"/>
      <c r="D82" s="166"/>
      <c r="E82" s="166"/>
      <c r="F82" s="166"/>
      <c r="G82" s="177"/>
      <c r="H82" s="182"/>
      <c r="I82" s="170"/>
      <c r="J82" s="169"/>
      <c r="K82" s="169"/>
      <c r="L82" s="183"/>
      <c r="M82" s="180"/>
      <c r="N82" s="181"/>
      <c r="O82" s="93"/>
      <c r="P82" s="93"/>
      <c r="Q82" s="93" t="str">
        <f t="shared" si="23"/>
        <v/>
      </c>
      <c r="R82" s="93" t="str">
        <f t="shared" si="20"/>
        <v/>
      </c>
      <c r="S82" s="93" t="str">
        <f t="shared" si="21"/>
        <v/>
      </c>
      <c r="T82" s="93" t="str">
        <f t="shared" si="22"/>
        <v/>
      </c>
      <c r="U82" s="93"/>
      <c r="V82" s="107" t="str">
        <f t="shared" si="5"/>
        <v/>
      </c>
      <c r="W82" s="107"/>
    </row>
    <row r="83" ht="18.75" customHeight="1">
      <c r="A83" s="93"/>
      <c r="B83" s="93"/>
      <c r="C83" s="166"/>
      <c r="D83" s="166"/>
      <c r="E83" s="166"/>
      <c r="F83" s="166"/>
      <c r="G83" s="177"/>
      <c r="H83" s="182"/>
      <c r="I83" s="170"/>
      <c r="J83" s="169"/>
      <c r="K83" s="169"/>
      <c r="L83" s="183"/>
      <c r="M83" s="180"/>
      <c r="N83" s="181"/>
      <c r="O83" s="93"/>
      <c r="P83" s="93"/>
      <c r="Q83" s="93" t="str">
        <f t="shared" si="23"/>
        <v/>
      </c>
      <c r="R83" s="93" t="str">
        <f t="shared" si="20"/>
        <v/>
      </c>
      <c r="S83" s="93" t="str">
        <f t="shared" si="21"/>
        <v/>
      </c>
      <c r="T83" s="93" t="str">
        <f t="shared" si="22"/>
        <v/>
      </c>
      <c r="U83" s="93"/>
      <c r="V83" s="107" t="str">
        <f t="shared" si="5"/>
        <v/>
      </c>
      <c r="W83" s="107"/>
    </row>
    <row r="84" ht="18.75" customHeight="1">
      <c r="A84" s="93"/>
      <c r="B84" s="93"/>
      <c r="C84" s="166"/>
      <c r="D84" s="166"/>
      <c r="E84" s="166"/>
      <c r="F84" s="166"/>
      <c r="G84" s="177"/>
      <c r="H84" s="182"/>
      <c r="I84" s="170"/>
      <c r="J84" s="169"/>
      <c r="K84" s="169"/>
      <c r="L84" s="183"/>
      <c r="M84" s="180"/>
      <c r="N84" s="181"/>
      <c r="O84" s="93"/>
      <c r="P84" s="93"/>
      <c r="Q84" s="93" t="str">
        <f t="shared" si="23"/>
        <v/>
      </c>
      <c r="R84" s="93" t="str">
        <f t="shared" si="20"/>
        <v/>
      </c>
      <c r="S84" s="93" t="str">
        <f t="shared" si="21"/>
        <v/>
      </c>
      <c r="T84" s="93" t="str">
        <f t="shared" si="22"/>
        <v/>
      </c>
      <c r="U84" s="93"/>
      <c r="V84" s="107" t="str">
        <f t="shared" si="5"/>
        <v/>
      </c>
      <c r="W84" s="107"/>
    </row>
    <row r="85" ht="18.75" customHeight="1">
      <c r="A85" s="93"/>
      <c r="B85" s="93"/>
      <c r="C85" s="166"/>
      <c r="D85" s="166"/>
      <c r="E85" s="166"/>
      <c r="F85" s="166"/>
      <c r="G85" s="177"/>
      <c r="H85" s="182"/>
      <c r="I85" s="170"/>
      <c r="J85" s="169"/>
      <c r="K85" s="169"/>
      <c r="L85" s="183"/>
      <c r="M85" s="180"/>
      <c r="N85" s="181"/>
      <c r="O85" s="93"/>
      <c r="P85" s="93"/>
      <c r="Q85" s="93" t="str">
        <f t="shared" si="23"/>
        <v/>
      </c>
      <c r="R85" s="93" t="str">
        <f t="shared" si="20"/>
        <v/>
      </c>
      <c r="S85" s="93" t="str">
        <f t="shared" si="21"/>
        <v/>
      </c>
      <c r="T85" s="93" t="str">
        <f t="shared" si="22"/>
        <v/>
      </c>
      <c r="U85" s="93"/>
      <c r="V85" s="107" t="str">
        <f t="shared" si="5"/>
        <v/>
      </c>
      <c r="W85" s="107"/>
    </row>
    <row r="86" ht="18.75" customHeight="1">
      <c r="A86" s="93"/>
      <c r="B86" s="93"/>
      <c r="C86" s="166"/>
      <c r="D86" s="166"/>
      <c r="E86" s="166"/>
      <c r="F86" s="166"/>
      <c r="G86" s="177"/>
      <c r="H86" s="182"/>
      <c r="I86" s="170"/>
      <c r="J86" s="169"/>
      <c r="K86" s="169"/>
      <c r="L86" s="183"/>
      <c r="M86" s="180"/>
      <c r="N86" s="181"/>
      <c r="O86" s="93"/>
      <c r="P86" s="93"/>
      <c r="Q86" s="93" t="str">
        <f t="shared" si="23"/>
        <v/>
      </c>
      <c r="R86" s="93" t="str">
        <f t="shared" si="20"/>
        <v/>
      </c>
      <c r="S86" s="93" t="str">
        <f t="shared" si="21"/>
        <v/>
      </c>
      <c r="T86" s="93" t="str">
        <f t="shared" si="22"/>
        <v/>
      </c>
      <c r="U86" s="93"/>
      <c r="V86" s="107" t="str">
        <f t="shared" si="5"/>
        <v/>
      </c>
      <c r="W86" s="107"/>
    </row>
    <row r="87" ht="18.75" customHeight="1">
      <c r="A87" s="93"/>
      <c r="B87" s="93"/>
      <c r="C87" s="166"/>
      <c r="D87" s="166"/>
      <c r="E87" s="166"/>
      <c r="F87" s="166"/>
      <c r="G87" s="177"/>
      <c r="H87" s="182"/>
      <c r="I87" s="170"/>
      <c r="J87" s="169"/>
      <c r="K87" s="169"/>
      <c r="L87" s="183"/>
      <c r="M87" s="180"/>
      <c r="N87" s="181"/>
      <c r="O87" s="93"/>
      <c r="P87" s="93"/>
      <c r="Q87" s="93" t="str">
        <f t="shared" si="23"/>
        <v/>
      </c>
      <c r="R87" s="93" t="str">
        <f t="shared" si="20"/>
        <v/>
      </c>
      <c r="S87" s="93" t="str">
        <f t="shared" si="21"/>
        <v/>
      </c>
      <c r="T87" s="93" t="str">
        <f t="shared" si="22"/>
        <v/>
      </c>
      <c r="U87" s="93"/>
      <c r="V87" s="107" t="str">
        <f t="shared" si="5"/>
        <v/>
      </c>
      <c r="W87" s="107"/>
    </row>
    <row r="88" ht="18.75" customHeight="1">
      <c r="A88" s="93"/>
      <c r="B88" s="93"/>
      <c r="C88" s="166"/>
      <c r="D88" s="166"/>
      <c r="E88" s="166"/>
      <c r="F88" s="166"/>
      <c r="G88" s="177"/>
      <c r="H88" s="182"/>
      <c r="I88" s="170"/>
      <c r="J88" s="169"/>
      <c r="K88" s="169"/>
      <c r="L88" s="183"/>
      <c r="M88" s="180"/>
      <c r="N88" s="181"/>
      <c r="O88" s="93"/>
      <c r="P88" s="93"/>
      <c r="Q88" s="93" t="str">
        <f t="shared" si="23"/>
        <v/>
      </c>
      <c r="R88" s="93" t="str">
        <f t="shared" si="20"/>
        <v/>
      </c>
      <c r="S88" s="93" t="str">
        <f t="shared" si="21"/>
        <v/>
      </c>
      <c r="T88" s="93" t="str">
        <f t="shared" si="22"/>
        <v/>
      </c>
      <c r="U88" s="93"/>
      <c r="V88" s="107" t="str">
        <f t="shared" si="5"/>
        <v/>
      </c>
      <c r="W88" s="107"/>
    </row>
    <row r="89" ht="18.75" customHeight="1">
      <c r="A89" s="93"/>
      <c r="B89" s="93"/>
      <c r="C89" s="166"/>
      <c r="D89" s="166"/>
      <c r="E89" s="166"/>
      <c r="F89" s="166"/>
      <c r="G89" s="177"/>
      <c r="H89" s="182"/>
      <c r="I89" s="170"/>
      <c r="J89" s="169"/>
      <c r="K89" s="169"/>
      <c r="L89" s="183"/>
      <c r="M89" s="180"/>
      <c r="N89" s="181"/>
      <c r="O89" s="93"/>
      <c r="P89" s="93"/>
      <c r="Q89" s="93" t="str">
        <f t="shared" si="23"/>
        <v/>
      </c>
      <c r="R89" s="93" t="str">
        <f t="shared" si="20"/>
        <v/>
      </c>
      <c r="S89" s="93" t="str">
        <f t="shared" si="21"/>
        <v/>
      </c>
      <c r="T89" s="93" t="str">
        <f t="shared" si="22"/>
        <v/>
      </c>
      <c r="U89" s="93"/>
      <c r="V89" s="107" t="str">
        <f t="shared" si="5"/>
        <v/>
      </c>
      <c r="W89" s="107"/>
    </row>
    <row r="90" ht="18.75" customHeight="1">
      <c r="A90" s="93"/>
      <c r="B90" s="93"/>
      <c r="C90" s="166"/>
      <c r="D90" s="166"/>
      <c r="E90" s="166"/>
      <c r="F90" s="166"/>
      <c r="G90" s="177"/>
      <c r="H90" s="182"/>
      <c r="I90" s="170"/>
      <c r="J90" s="169"/>
      <c r="K90" s="169"/>
      <c r="L90" s="183"/>
      <c r="M90" s="180"/>
      <c r="N90" s="181"/>
      <c r="O90" s="93"/>
      <c r="P90" s="93"/>
      <c r="Q90" s="93" t="str">
        <f t="shared" si="23"/>
        <v/>
      </c>
      <c r="R90" s="93" t="str">
        <f t="shared" si="20"/>
        <v/>
      </c>
      <c r="S90" s="93" t="str">
        <f t="shared" si="21"/>
        <v/>
      </c>
      <c r="T90" s="93" t="str">
        <f t="shared" si="22"/>
        <v/>
      </c>
      <c r="U90" s="93"/>
      <c r="V90" s="107" t="str">
        <f t="shared" si="5"/>
        <v/>
      </c>
      <c r="W90" s="107"/>
    </row>
    <row r="91" ht="18.75" customHeight="1">
      <c r="A91" s="93"/>
      <c r="B91" s="93"/>
      <c r="C91" s="166"/>
      <c r="D91" s="166"/>
      <c r="E91" s="166"/>
      <c r="F91" s="166"/>
      <c r="G91" s="177"/>
      <c r="H91" s="182"/>
      <c r="I91" s="170"/>
      <c r="J91" s="169"/>
      <c r="K91" s="169"/>
      <c r="L91" s="183"/>
      <c r="M91" s="180"/>
      <c r="N91" s="181"/>
      <c r="O91" s="93"/>
      <c r="P91" s="93"/>
      <c r="Q91" s="93"/>
      <c r="R91" s="93"/>
      <c r="S91" s="93"/>
      <c r="T91" s="93"/>
      <c r="U91" s="93"/>
      <c r="V91" s="107" t="str">
        <f t="shared" si="5"/>
        <v/>
      </c>
      <c r="W91" s="107"/>
    </row>
    <row r="92" ht="18.75" customHeight="1">
      <c r="A92" s="93"/>
      <c r="B92" s="93"/>
      <c r="C92" s="166"/>
      <c r="D92" s="166"/>
      <c r="E92" s="166"/>
      <c r="F92" s="166"/>
      <c r="G92" s="177"/>
      <c r="H92" s="182"/>
      <c r="I92" s="170"/>
      <c r="J92" s="169"/>
      <c r="K92" s="169"/>
      <c r="L92" s="183"/>
      <c r="M92" s="180"/>
      <c r="N92" s="181"/>
      <c r="O92" s="93"/>
      <c r="P92" s="93"/>
      <c r="Q92" s="93"/>
      <c r="R92" s="93"/>
      <c r="S92" s="93"/>
      <c r="T92" s="93"/>
      <c r="U92" s="93"/>
      <c r="V92" s="107" t="str">
        <f t="shared" si="5"/>
        <v/>
      </c>
      <c r="W92" s="107"/>
    </row>
    <row r="93" ht="18.75" customHeight="1">
      <c r="A93" s="93"/>
      <c r="B93" s="93"/>
      <c r="C93" s="166"/>
      <c r="D93" s="166"/>
      <c r="E93" s="166"/>
      <c r="F93" s="166"/>
      <c r="G93" s="177"/>
      <c r="H93" s="182"/>
      <c r="I93" s="170"/>
      <c r="J93" s="169"/>
      <c r="K93" s="169"/>
      <c r="L93" s="183"/>
      <c r="M93" s="180"/>
      <c r="N93" s="181"/>
      <c r="O93" s="93"/>
      <c r="P93" s="93"/>
      <c r="Q93" s="93"/>
      <c r="R93" s="93"/>
      <c r="S93" s="93"/>
      <c r="T93" s="93"/>
      <c r="U93" s="93"/>
      <c r="V93" s="107" t="str">
        <f t="shared" si="5"/>
        <v/>
      </c>
      <c r="W93" s="107"/>
    </row>
    <row r="94" ht="18.75" customHeight="1">
      <c r="A94" s="93"/>
      <c r="B94" s="93"/>
      <c r="C94" s="166"/>
      <c r="D94" s="166"/>
      <c r="E94" s="166"/>
      <c r="F94" s="166"/>
      <c r="G94" s="177"/>
      <c r="H94" s="182"/>
      <c r="I94" s="170"/>
      <c r="J94" s="169"/>
      <c r="K94" s="169"/>
      <c r="L94" s="183"/>
      <c r="M94" s="180"/>
      <c r="N94" s="181"/>
      <c r="O94" s="93"/>
      <c r="P94" s="93"/>
      <c r="Q94" s="93"/>
      <c r="R94" s="93"/>
      <c r="S94" s="93"/>
      <c r="T94" s="93"/>
      <c r="U94" s="93"/>
      <c r="V94" s="107" t="str">
        <f t="shared" si="5"/>
        <v/>
      </c>
      <c r="W94" s="107"/>
    </row>
    <row r="95" ht="18.75" customHeight="1">
      <c r="A95" s="93"/>
      <c r="B95" s="93"/>
      <c r="C95" s="166"/>
      <c r="D95" s="166"/>
      <c r="E95" s="166"/>
      <c r="F95" s="166"/>
      <c r="G95" s="177"/>
      <c r="H95" s="182"/>
      <c r="I95" s="170"/>
      <c r="J95" s="169"/>
      <c r="K95" s="169"/>
      <c r="L95" s="183"/>
      <c r="M95" s="180"/>
      <c r="N95" s="181"/>
      <c r="O95" s="93"/>
      <c r="P95" s="93"/>
      <c r="Q95" s="93"/>
      <c r="R95" s="93"/>
      <c r="S95" s="93"/>
      <c r="T95" s="93"/>
      <c r="U95" s="93"/>
      <c r="V95" s="107" t="str">
        <f t="shared" si="5"/>
        <v/>
      </c>
      <c r="W95" s="107"/>
    </row>
    <row r="96" ht="18.75" customHeight="1">
      <c r="A96" s="93"/>
      <c r="B96" s="93"/>
      <c r="C96" s="166"/>
      <c r="D96" s="166"/>
      <c r="E96" s="166"/>
      <c r="F96" s="166"/>
      <c r="G96" s="177"/>
      <c r="H96" s="182"/>
      <c r="I96" s="170"/>
      <c r="J96" s="169"/>
      <c r="K96" s="169"/>
      <c r="L96" s="183"/>
      <c r="M96" s="180"/>
      <c r="N96" s="181"/>
      <c r="O96" s="93"/>
      <c r="P96" s="93"/>
      <c r="Q96" s="93"/>
      <c r="R96" s="93"/>
      <c r="S96" s="93"/>
      <c r="T96" s="93"/>
      <c r="U96" s="93"/>
      <c r="V96" s="107" t="str">
        <f t="shared" si="5"/>
        <v/>
      </c>
      <c r="W96" s="107"/>
    </row>
    <row r="97" ht="18.75" customHeight="1">
      <c r="A97" s="93"/>
      <c r="B97" s="93"/>
      <c r="C97" s="166"/>
      <c r="D97" s="166"/>
      <c r="E97" s="166"/>
      <c r="F97" s="166"/>
      <c r="G97" s="177"/>
      <c r="H97" s="182"/>
      <c r="I97" s="170"/>
      <c r="J97" s="169"/>
      <c r="K97" s="169"/>
      <c r="L97" s="183"/>
      <c r="M97" s="180"/>
      <c r="N97" s="181"/>
      <c r="O97" s="93"/>
      <c r="P97" s="93"/>
      <c r="Q97" s="93"/>
      <c r="R97" s="93"/>
      <c r="S97" s="93"/>
      <c r="T97" s="93"/>
      <c r="U97" s="93"/>
      <c r="V97" s="107" t="str">
        <f t="shared" si="5"/>
        <v/>
      </c>
      <c r="W97" s="107"/>
    </row>
    <row r="98" ht="18.75" customHeight="1">
      <c r="A98" s="93"/>
      <c r="B98" s="93"/>
      <c r="C98" s="166"/>
      <c r="D98" s="166"/>
      <c r="E98" s="166"/>
      <c r="F98" s="166"/>
      <c r="G98" s="177"/>
      <c r="H98" s="182"/>
      <c r="I98" s="170"/>
      <c r="J98" s="169"/>
      <c r="K98" s="169"/>
      <c r="L98" s="183"/>
      <c r="M98" s="180"/>
      <c r="N98" s="181"/>
      <c r="O98" s="93"/>
      <c r="P98" s="93"/>
      <c r="Q98" s="93"/>
      <c r="R98" s="93"/>
      <c r="S98" s="93"/>
      <c r="T98" s="93"/>
      <c r="U98" s="93"/>
      <c r="V98" s="107" t="str">
        <f t="shared" si="5"/>
        <v/>
      </c>
      <c r="W98" s="107"/>
    </row>
    <row r="99" ht="18.75" customHeight="1">
      <c r="A99" s="93"/>
      <c r="B99" s="93"/>
      <c r="C99" s="166"/>
      <c r="D99" s="166"/>
      <c r="E99" s="166"/>
      <c r="F99" s="166"/>
      <c r="G99" s="177"/>
      <c r="H99" s="182"/>
      <c r="I99" s="170"/>
      <c r="J99" s="169"/>
      <c r="K99" s="169"/>
      <c r="L99" s="183"/>
      <c r="M99" s="180"/>
      <c r="N99" s="181"/>
      <c r="O99" s="93"/>
      <c r="P99" s="93"/>
      <c r="Q99" s="93"/>
      <c r="R99" s="93"/>
      <c r="S99" s="93"/>
      <c r="T99" s="93"/>
      <c r="U99" s="93"/>
      <c r="V99" s="107" t="str">
        <f t="shared" si="5"/>
        <v/>
      </c>
      <c r="W99" s="107"/>
    </row>
    <row r="100" ht="18.75" customHeight="1">
      <c r="A100" s="93"/>
      <c r="B100" s="93"/>
      <c r="C100" s="166"/>
      <c r="D100" s="166"/>
      <c r="E100" s="166"/>
      <c r="F100" s="166"/>
      <c r="G100" s="177"/>
      <c r="H100" s="182"/>
      <c r="I100" s="170"/>
      <c r="J100" s="169"/>
      <c r="K100" s="169"/>
      <c r="L100" s="183"/>
      <c r="M100" s="180"/>
      <c r="N100" s="181"/>
      <c r="O100" s="93"/>
      <c r="P100" s="93"/>
      <c r="Q100" s="93"/>
      <c r="R100" s="93"/>
      <c r="S100" s="93"/>
      <c r="T100" s="93"/>
      <c r="U100" s="93"/>
      <c r="V100" s="107" t="str">
        <f t="shared" si="5"/>
        <v/>
      </c>
      <c r="W100" s="107"/>
    </row>
    <row r="101" ht="18.75" customHeight="1">
      <c r="A101" s="93"/>
      <c r="B101" s="93"/>
      <c r="C101" s="166"/>
      <c r="D101" s="166"/>
      <c r="E101" s="166"/>
      <c r="F101" s="166"/>
      <c r="G101" s="177"/>
      <c r="H101" s="182"/>
      <c r="I101" s="170"/>
      <c r="J101" s="169"/>
      <c r="K101" s="169"/>
      <c r="L101" s="183"/>
      <c r="M101" s="180"/>
      <c r="N101" s="181"/>
      <c r="O101" s="93"/>
      <c r="P101" s="93"/>
      <c r="Q101" s="93"/>
      <c r="R101" s="93"/>
      <c r="S101" s="93"/>
      <c r="T101" s="93"/>
      <c r="U101" s="93"/>
      <c r="V101" s="107" t="str">
        <f t="shared" si="5"/>
        <v/>
      </c>
      <c r="W101" s="107"/>
    </row>
    <row r="102" ht="18.75" customHeight="1">
      <c r="A102" s="93"/>
      <c r="B102" s="93"/>
      <c r="C102" s="166"/>
      <c r="D102" s="166"/>
      <c r="E102" s="166"/>
      <c r="F102" s="166"/>
      <c r="G102" s="177"/>
      <c r="H102" s="182"/>
      <c r="I102" s="170"/>
      <c r="J102" s="169"/>
      <c r="K102" s="169"/>
      <c r="L102" s="183"/>
      <c r="M102" s="180"/>
      <c r="N102" s="181"/>
      <c r="O102" s="93"/>
      <c r="P102" s="93"/>
      <c r="Q102" s="93"/>
      <c r="R102" s="93"/>
      <c r="S102" s="93"/>
      <c r="T102" s="93"/>
      <c r="U102" s="93"/>
      <c r="V102" s="107" t="str">
        <f t="shared" si="5"/>
        <v/>
      </c>
      <c r="W102" s="107"/>
    </row>
    <row r="103" ht="18.75" customHeight="1">
      <c r="A103" s="93"/>
      <c r="B103" s="93"/>
      <c r="C103" s="166"/>
      <c r="D103" s="166"/>
      <c r="E103" s="166"/>
      <c r="F103" s="166"/>
      <c r="G103" s="177"/>
      <c r="H103" s="182"/>
      <c r="I103" s="170"/>
      <c r="J103" s="169"/>
      <c r="K103" s="169"/>
      <c r="L103" s="183"/>
      <c r="M103" s="180"/>
      <c r="N103" s="181"/>
      <c r="O103" s="93"/>
      <c r="P103" s="93"/>
      <c r="Q103" s="93"/>
      <c r="R103" s="93"/>
      <c r="S103" s="93"/>
      <c r="T103" s="93"/>
      <c r="U103" s="93"/>
      <c r="V103" s="107"/>
      <c r="W103" s="107"/>
    </row>
    <row r="104" ht="18.75" customHeight="1">
      <c r="A104" s="93"/>
      <c r="B104" s="93"/>
      <c r="C104" s="166"/>
      <c r="D104" s="166"/>
      <c r="E104" s="166"/>
      <c r="F104" s="166"/>
      <c r="G104" s="177"/>
      <c r="H104" s="182"/>
      <c r="I104" s="170"/>
      <c r="J104" s="169"/>
      <c r="K104" s="169"/>
      <c r="L104" s="183"/>
      <c r="M104" s="180"/>
      <c r="N104" s="181"/>
      <c r="O104" s="93"/>
      <c r="P104" s="93"/>
      <c r="Q104" s="93"/>
      <c r="R104" s="93"/>
      <c r="S104" s="93"/>
      <c r="T104" s="93"/>
      <c r="U104" s="93"/>
      <c r="V104" s="107"/>
      <c r="W104" s="107"/>
    </row>
    <row r="105" ht="18.75" customHeight="1">
      <c r="A105" s="93"/>
      <c r="B105" s="93"/>
      <c r="C105" s="166"/>
      <c r="D105" s="166"/>
      <c r="E105" s="166"/>
      <c r="F105" s="166"/>
      <c r="G105" s="177"/>
      <c r="H105" s="182"/>
      <c r="I105" s="170"/>
      <c r="J105" s="169"/>
      <c r="K105" s="169"/>
      <c r="L105" s="183"/>
      <c r="M105" s="180"/>
      <c r="N105" s="181"/>
      <c r="O105" s="93"/>
      <c r="P105" s="93"/>
      <c r="Q105" s="93"/>
      <c r="R105" s="93"/>
      <c r="S105" s="93"/>
      <c r="T105" s="93"/>
      <c r="U105" s="93"/>
      <c r="V105" s="107"/>
      <c r="W105" s="107"/>
    </row>
    <row r="106" ht="18.75" customHeight="1">
      <c r="A106" s="93"/>
      <c r="B106" s="93"/>
      <c r="C106" s="166"/>
      <c r="D106" s="166"/>
      <c r="E106" s="166"/>
      <c r="F106" s="166"/>
      <c r="G106" s="177"/>
      <c r="H106" s="182"/>
      <c r="I106" s="170"/>
      <c r="J106" s="169"/>
      <c r="K106" s="169"/>
      <c r="L106" s="183"/>
      <c r="M106" s="180"/>
      <c r="N106" s="181"/>
      <c r="O106" s="93"/>
      <c r="P106" s="93"/>
      <c r="Q106" s="93"/>
      <c r="R106" s="93"/>
      <c r="S106" s="93"/>
      <c r="T106" s="93"/>
      <c r="U106" s="93"/>
      <c r="V106" s="107"/>
      <c r="W106" s="107"/>
    </row>
    <row r="107" ht="18.75" customHeight="1">
      <c r="A107" s="93"/>
      <c r="B107" s="93"/>
      <c r="C107" s="166"/>
      <c r="D107" s="166"/>
      <c r="E107" s="166"/>
      <c r="F107" s="166"/>
      <c r="G107" s="177"/>
      <c r="H107" s="182"/>
      <c r="I107" s="170"/>
      <c r="J107" s="169"/>
      <c r="K107" s="169"/>
      <c r="L107" s="183"/>
      <c r="M107" s="180"/>
      <c r="N107" s="181"/>
      <c r="O107" s="93"/>
      <c r="P107" s="93"/>
      <c r="Q107" s="93"/>
      <c r="R107" s="93"/>
      <c r="S107" s="93"/>
      <c r="T107" s="93"/>
      <c r="U107" s="93"/>
      <c r="V107" s="107"/>
      <c r="W107" s="107"/>
    </row>
    <row r="108" ht="18.75" customHeight="1">
      <c r="A108" s="93"/>
      <c r="B108" s="93"/>
      <c r="C108" s="166"/>
      <c r="D108" s="166"/>
      <c r="E108" s="166"/>
      <c r="F108" s="166"/>
      <c r="G108" s="177"/>
      <c r="H108" s="182"/>
      <c r="I108" s="170"/>
      <c r="J108" s="169"/>
      <c r="K108" s="169"/>
      <c r="L108" s="183"/>
      <c r="M108" s="180"/>
      <c r="N108" s="181"/>
      <c r="O108" s="93"/>
      <c r="P108" s="93"/>
      <c r="Q108" s="93"/>
      <c r="R108" s="93"/>
      <c r="S108" s="93"/>
      <c r="T108" s="93"/>
      <c r="U108" s="93"/>
      <c r="V108" s="107"/>
      <c r="W108" s="107"/>
    </row>
    <row r="109" ht="18.75" customHeight="1">
      <c r="A109" s="93"/>
      <c r="B109" s="93"/>
      <c r="C109" s="166"/>
      <c r="D109" s="166"/>
      <c r="E109" s="166"/>
      <c r="F109" s="166"/>
      <c r="G109" s="177"/>
      <c r="H109" s="182"/>
      <c r="I109" s="170"/>
      <c r="J109" s="169"/>
      <c r="K109" s="169"/>
      <c r="L109" s="183"/>
      <c r="M109" s="180"/>
      <c r="N109" s="181"/>
      <c r="O109" s="93"/>
      <c r="P109" s="93"/>
      <c r="Q109" s="93"/>
      <c r="R109" s="93"/>
      <c r="S109" s="93"/>
      <c r="T109" s="93"/>
      <c r="U109" s="93"/>
      <c r="V109" s="107"/>
      <c r="W109" s="107"/>
    </row>
    <row r="110" ht="18.75" customHeight="1">
      <c r="A110" s="93"/>
      <c r="B110" s="93"/>
      <c r="C110" s="166"/>
      <c r="D110" s="166"/>
      <c r="E110" s="166"/>
      <c r="F110" s="166"/>
      <c r="G110" s="177"/>
      <c r="H110" s="182"/>
      <c r="I110" s="170"/>
      <c r="J110" s="169"/>
      <c r="K110" s="169"/>
      <c r="L110" s="183"/>
      <c r="M110" s="180"/>
      <c r="N110" s="181"/>
      <c r="O110" s="93"/>
      <c r="P110" s="93"/>
      <c r="Q110" s="93"/>
      <c r="R110" s="93"/>
      <c r="S110" s="93"/>
      <c r="T110" s="93"/>
      <c r="U110" s="93"/>
      <c r="V110" s="107"/>
      <c r="W110" s="107"/>
    </row>
    <row r="111" ht="18.75" customHeight="1">
      <c r="A111" s="93"/>
      <c r="B111" s="93"/>
      <c r="C111" s="166"/>
      <c r="D111" s="166"/>
      <c r="E111" s="166"/>
      <c r="F111" s="166"/>
      <c r="G111" s="177"/>
      <c r="H111" s="182"/>
      <c r="I111" s="170"/>
      <c r="J111" s="169"/>
      <c r="K111" s="169"/>
      <c r="L111" s="183"/>
      <c r="M111" s="180"/>
      <c r="N111" s="181"/>
      <c r="O111" s="93"/>
      <c r="P111" s="93"/>
      <c r="Q111" s="93"/>
      <c r="R111" s="93"/>
      <c r="S111" s="93"/>
      <c r="T111" s="93"/>
      <c r="U111" s="93"/>
      <c r="V111" s="107"/>
      <c r="W111" s="107"/>
    </row>
    <row r="112" ht="18.75" customHeight="1">
      <c r="A112" s="93"/>
      <c r="B112" s="93"/>
      <c r="C112" s="166"/>
      <c r="D112" s="166"/>
      <c r="E112" s="166"/>
      <c r="F112" s="166"/>
      <c r="G112" s="177"/>
      <c r="H112" s="182"/>
      <c r="I112" s="170"/>
      <c r="J112" s="169"/>
      <c r="K112" s="169"/>
      <c r="L112" s="183"/>
      <c r="M112" s="180"/>
      <c r="N112" s="181"/>
      <c r="O112" s="93"/>
      <c r="P112" s="93"/>
      <c r="Q112" s="93"/>
      <c r="R112" s="93"/>
      <c r="S112" s="93"/>
      <c r="T112" s="93"/>
      <c r="U112" s="93"/>
      <c r="V112" s="107"/>
      <c r="W112" s="107"/>
    </row>
    <row r="113" ht="18.75" customHeight="1">
      <c r="A113" s="93"/>
      <c r="B113" s="93"/>
      <c r="C113" s="166"/>
      <c r="D113" s="166"/>
      <c r="E113" s="166"/>
      <c r="F113" s="166"/>
      <c r="G113" s="177"/>
      <c r="H113" s="182"/>
      <c r="I113" s="170"/>
      <c r="J113" s="169"/>
      <c r="K113" s="169"/>
      <c r="L113" s="183"/>
      <c r="M113" s="180"/>
      <c r="N113" s="186"/>
      <c r="O113" s="93"/>
      <c r="P113" s="93"/>
      <c r="Q113" s="93"/>
      <c r="R113" s="93"/>
      <c r="S113" s="93"/>
      <c r="T113" s="93"/>
      <c r="U113" s="93"/>
      <c r="V113" s="107"/>
      <c r="W113" s="107"/>
    </row>
    <row r="114" ht="18.75" customHeight="1">
      <c r="A114" s="93"/>
      <c r="B114" s="93"/>
      <c r="C114" s="166"/>
      <c r="D114" s="166"/>
      <c r="E114" s="166"/>
      <c r="F114" s="166"/>
      <c r="G114" s="177"/>
      <c r="H114" s="182"/>
      <c r="I114" s="170"/>
      <c r="J114" s="169"/>
      <c r="K114" s="169"/>
      <c r="L114" s="183"/>
      <c r="M114" s="180"/>
      <c r="N114" s="186"/>
      <c r="O114" s="93"/>
      <c r="P114" s="93"/>
      <c r="Q114" s="93"/>
      <c r="R114" s="93"/>
      <c r="S114" s="93"/>
      <c r="T114" s="93"/>
      <c r="U114" s="93"/>
      <c r="V114" s="107"/>
      <c r="W114" s="107"/>
    </row>
    <row r="115" ht="18.75" customHeight="1">
      <c r="A115" s="93"/>
      <c r="B115" s="93"/>
      <c r="C115" s="166"/>
      <c r="D115" s="166"/>
      <c r="E115" s="166"/>
      <c r="F115" s="166"/>
      <c r="G115" s="177"/>
      <c r="H115" s="182"/>
      <c r="I115" s="170"/>
      <c r="J115" s="169"/>
      <c r="K115" s="169"/>
      <c r="L115" s="183"/>
      <c r="M115" s="180"/>
      <c r="N115" s="186"/>
      <c r="O115" s="93"/>
      <c r="P115" s="93"/>
      <c r="Q115" s="93"/>
      <c r="R115" s="93"/>
      <c r="S115" s="93"/>
      <c r="T115" s="93"/>
      <c r="U115" s="93"/>
      <c r="V115" s="107"/>
      <c r="W115" s="107"/>
    </row>
    <row r="116" ht="18.75" customHeight="1">
      <c r="A116" s="93"/>
      <c r="B116" s="93"/>
      <c r="C116" s="166"/>
      <c r="D116" s="166"/>
      <c r="E116" s="166"/>
      <c r="F116" s="166"/>
      <c r="G116" s="177"/>
      <c r="H116" s="182"/>
      <c r="I116" s="170"/>
      <c r="J116" s="169"/>
      <c r="K116" s="169"/>
      <c r="L116" s="183"/>
      <c r="M116" s="180"/>
      <c r="N116" s="186"/>
      <c r="O116" s="93"/>
      <c r="P116" s="93"/>
      <c r="Q116" s="93"/>
      <c r="R116" s="93"/>
      <c r="S116" s="93"/>
      <c r="T116" s="93"/>
      <c r="U116" s="93"/>
      <c r="V116" s="107"/>
      <c r="W116" s="107"/>
    </row>
    <row r="117" ht="18.75" customHeight="1">
      <c r="A117" s="93"/>
      <c r="B117" s="93"/>
      <c r="C117" s="166"/>
      <c r="D117" s="166"/>
      <c r="E117" s="166"/>
      <c r="F117" s="166"/>
      <c r="G117" s="177"/>
      <c r="H117" s="182"/>
      <c r="I117" s="170"/>
      <c r="J117" s="169"/>
      <c r="K117" s="169"/>
      <c r="L117" s="183"/>
      <c r="M117" s="180"/>
      <c r="N117" s="186"/>
      <c r="O117" s="93"/>
      <c r="P117" s="93"/>
      <c r="Q117" s="93"/>
      <c r="R117" s="93"/>
      <c r="S117" s="93"/>
      <c r="T117" s="93"/>
      <c r="U117" s="93"/>
      <c r="V117" s="107"/>
      <c r="W117" s="107"/>
    </row>
    <row r="118" ht="18.75" customHeight="1">
      <c r="A118" s="93"/>
      <c r="B118" s="93"/>
      <c r="C118" s="166"/>
      <c r="D118" s="166"/>
      <c r="E118" s="166"/>
      <c r="F118" s="166"/>
      <c r="G118" s="177"/>
      <c r="H118" s="182"/>
      <c r="I118" s="170"/>
      <c r="J118" s="169"/>
      <c r="K118" s="169"/>
      <c r="L118" s="183"/>
      <c r="M118" s="180"/>
      <c r="N118" s="186"/>
      <c r="O118" s="93"/>
      <c r="P118" s="93"/>
      <c r="Q118" s="93"/>
      <c r="R118" s="93"/>
      <c r="S118" s="93"/>
      <c r="T118" s="93"/>
      <c r="U118" s="93"/>
      <c r="V118" s="107"/>
      <c r="W118" s="107"/>
    </row>
    <row r="119" ht="18.75" customHeight="1">
      <c r="A119" s="93"/>
      <c r="B119" s="93"/>
      <c r="C119" s="166"/>
      <c r="D119" s="166"/>
      <c r="E119" s="166"/>
      <c r="F119" s="166"/>
      <c r="G119" s="177"/>
      <c r="H119" s="182"/>
      <c r="I119" s="170"/>
      <c r="J119" s="169"/>
      <c r="K119" s="169"/>
      <c r="L119" s="183"/>
      <c r="M119" s="180"/>
      <c r="N119" s="186"/>
      <c r="O119" s="93"/>
      <c r="P119" s="93"/>
      <c r="Q119" s="93"/>
      <c r="R119" s="93"/>
      <c r="S119" s="93"/>
      <c r="T119" s="93"/>
      <c r="U119" s="93"/>
      <c r="V119" s="107"/>
      <c r="W119" s="107"/>
    </row>
    <row r="120" ht="18.75" customHeight="1">
      <c r="A120" s="93"/>
      <c r="B120" s="93"/>
      <c r="C120" s="166"/>
      <c r="D120" s="166"/>
      <c r="E120" s="166"/>
      <c r="F120" s="166"/>
      <c r="G120" s="177"/>
      <c r="H120" s="182"/>
      <c r="I120" s="170"/>
      <c r="J120" s="169"/>
      <c r="K120" s="169"/>
      <c r="L120" s="183"/>
      <c r="M120" s="180"/>
      <c r="N120" s="186"/>
      <c r="O120" s="93"/>
      <c r="P120" s="93"/>
      <c r="Q120" s="93"/>
      <c r="R120" s="93"/>
      <c r="S120" s="93"/>
      <c r="T120" s="93"/>
      <c r="U120" s="93"/>
      <c r="V120" s="107"/>
      <c r="W120" s="107"/>
    </row>
  </sheetData>
  <conditionalFormatting sqref="C3:C32">
    <cfRule type="expression" dxfId="8" priority="1">
      <formula>C3&gt;=$Q$10</formula>
    </cfRule>
  </conditionalFormatting>
  <conditionalFormatting sqref="C3:C32">
    <cfRule type="expression" dxfId="10" priority="2">
      <formula>OR($B3&lt;=$A$1,$A$1="")</formula>
    </cfRule>
  </conditionalFormatting>
  <conditionalFormatting sqref="E3:E32 J3:J32">
    <cfRule type="expression" dxfId="12" priority="3">
      <formula>OR($B3&lt;=$A$1,$A$1="")</formula>
    </cfRule>
  </conditionalFormatting>
  <conditionalFormatting sqref="G3:G32 L3:N32">
    <cfRule type="expression" dxfId="13" priority="4">
      <formula>OR($B3&lt;=$A$1,$A$1="")</formula>
    </cfRule>
  </conditionalFormatting>
  <conditionalFormatting sqref="J3:J32">
    <cfRule type="expression" dxfId="12" priority="5">
      <formula>OR($B3&lt;=$A$1,$A$1="")</formula>
    </cfRule>
  </conditionalFormatting>
  <conditionalFormatting sqref="C33">
    <cfRule type="expression" dxfId="9" priority="6">
      <formula>A1=""</formula>
    </cfRule>
  </conditionalFormatting>
  <conditionalFormatting sqref="C3:C33">
    <cfRule type="expression" dxfId="9" priority="7">
      <formula>B2=$A$1</formula>
    </cfRule>
  </conditionalFormatting>
  <conditionalFormatting sqref="C3:C33">
    <cfRule type="expression" dxfId="9" priority="8">
      <formula>B2=$A$1</formula>
    </cfRule>
  </conditionalFormatting>
  <conditionalFormatting sqref="B3:B33">
    <cfRule type="cellIs" dxfId="11" priority="9" operator="lessThan">
      <formula>"$a$1"</formula>
    </cfRule>
  </conditionalFormatting>
  <conditionalFormatting sqref="E3:E32 J3:J32">
    <cfRule type="expression" dxfId="12" priority="10">
      <formula>$B3&lt;=$A$1</formula>
    </cfRule>
  </conditionalFormatting>
  <conditionalFormatting sqref="G3:G32 L3:N32">
    <cfRule type="expression" dxfId="13" priority="11">
      <formula>$B3&lt;=$A$1</formula>
    </cfRule>
  </conditionalFormatting>
  <conditionalFormatting sqref="J3:J32">
    <cfRule type="expression" dxfId="12" priority="12">
      <formula>$B3&lt;=$A$1</formula>
    </cfRule>
  </conditionalFormatting>
  <conditionalFormatting sqref="H3:I33">
    <cfRule type="expression" dxfId="14" priority="13">
      <formula>$B3&lt;=$A$1</formula>
    </cfRule>
  </conditionalFormatting>
  <conditionalFormatting sqref="D4:D120">
    <cfRule type="expression" dxfId="6" priority="14">
      <formula>$K4="OK"</formula>
    </cfRule>
  </conditionalFormatting>
  <conditionalFormatting sqref="P24:T24">
    <cfRule type="notContainsBlanks" dxfId="7" priority="15">
      <formula>LEN(TRIM(P24))&gt;0</formula>
    </cfRule>
  </conditionalFormatting>
  <dataValidations>
    <dataValidation type="list" allowBlank="1" showErrorMessage="1" sqref="M3:M32">
      <formula1>Diretrizes!$B$17:$B$33</formula1>
    </dataValidation>
  </dataValidations>
  <printOptions/>
  <pageMargins bottom="0.7875" footer="0.0" header="0.0" left="0.511805555555555" right="0.511805555555555" top="0.78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5.57"/>
    <col customWidth="1" min="3" max="3" width="10.0"/>
    <col customWidth="1" hidden="1" min="4" max="4" width="9.43"/>
    <col customWidth="1" min="5" max="5" width="11.57"/>
    <col customWidth="1" hidden="1" min="6" max="6" width="12.29"/>
    <col customWidth="1" min="7" max="7" width="7.71"/>
    <col customWidth="1" hidden="1" min="8" max="8" width="11.86"/>
    <col customWidth="1" hidden="1" min="9" max="9" width="9.29"/>
    <col customWidth="1" min="10" max="10" width="9.71"/>
    <col customWidth="1" hidden="1" min="11" max="11" width="9.14"/>
    <col customWidth="1" min="12" max="12" width="20.57"/>
    <col customWidth="1" min="13" max="13" width="22.86"/>
    <col customWidth="1" min="14" max="14" width="15.43"/>
    <col customWidth="1" min="15" max="15" width="5.14"/>
    <col customWidth="1" min="16" max="16" width="22.0"/>
    <col customWidth="1" min="17" max="17" width="14.14"/>
    <col customWidth="1" min="18" max="18" width="6.43"/>
    <col customWidth="1" min="19" max="20" width="12.14"/>
    <col customWidth="1" min="21" max="21" width="3.0"/>
    <col customWidth="1" hidden="1" min="22" max="23" width="14.71"/>
  </cols>
  <sheetData>
    <row r="1" ht="18.75" customHeight="1">
      <c r="A1" s="84">
        <f>IF(Diretrizes!J3&lt;2,"",Diretrizes!J3)</f>
        <v>12</v>
      </c>
      <c r="B1" s="85"/>
      <c r="C1" s="86" t="s">
        <v>36</v>
      </c>
      <c r="D1" s="87" t="s">
        <v>36</v>
      </c>
      <c r="E1" s="88" t="s">
        <v>37</v>
      </c>
      <c r="F1" s="89" t="s">
        <v>38</v>
      </c>
      <c r="G1" s="90"/>
      <c r="H1" s="91"/>
      <c r="I1" s="91"/>
      <c r="J1" s="88"/>
      <c r="K1" s="92"/>
      <c r="L1" s="90"/>
      <c r="M1" s="90"/>
      <c r="N1" s="90"/>
      <c r="O1" s="93"/>
      <c r="P1" s="93"/>
      <c r="Q1" s="93"/>
      <c r="R1" s="93"/>
      <c r="S1" s="93"/>
      <c r="T1" s="93"/>
      <c r="U1" s="93"/>
      <c r="V1" s="94"/>
      <c r="W1" s="94"/>
    </row>
    <row r="2" ht="18.75" customHeight="1">
      <c r="A2" s="93"/>
      <c r="B2" s="95" t="s">
        <v>39</v>
      </c>
      <c r="C2" s="96" t="s">
        <v>40</v>
      </c>
      <c r="D2" s="87" t="s">
        <v>41</v>
      </c>
      <c r="E2" s="97" t="s">
        <v>40</v>
      </c>
      <c r="F2" s="89" t="s">
        <v>41</v>
      </c>
      <c r="G2" s="98" t="s">
        <v>42</v>
      </c>
      <c r="H2" s="99" t="s">
        <v>43</v>
      </c>
      <c r="I2" s="99" t="s">
        <v>44</v>
      </c>
      <c r="J2" s="97" t="s">
        <v>45</v>
      </c>
      <c r="K2" s="100"/>
      <c r="L2" s="98" t="s">
        <v>39</v>
      </c>
      <c r="M2" s="98" t="s">
        <v>24</v>
      </c>
      <c r="N2" s="98" t="s">
        <v>34</v>
      </c>
      <c r="O2" s="101"/>
      <c r="P2" s="102" t="s">
        <v>46</v>
      </c>
      <c r="Q2" s="103"/>
      <c r="R2" s="104"/>
      <c r="S2" s="105"/>
      <c r="T2" s="106"/>
      <c r="U2" s="106"/>
      <c r="V2" s="107"/>
      <c r="W2" s="107"/>
    </row>
    <row r="3" ht="18.0" customHeight="1">
      <c r="A3" s="93"/>
      <c r="B3" s="108">
        <v>1.0</v>
      </c>
      <c r="C3" s="109">
        <f>Diretrizes!F3</f>
        <v>137.5</v>
      </c>
      <c r="D3" s="110">
        <f>C3</f>
        <v>137.5</v>
      </c>
      <c r="E3" s="111">
        <f t="shared" ref="E3:E32" si="1">IF(C3="",,IF(B3="",,C3*J3))</f>
        <v>5.5</v>
      </c>
      <c r="F3" s="110">
        <f t="shared" ref="F3:F32" si="2">if(D3="",,D3*J3)</f>
        <v>5.5</v>
      </c>
      <c r="G3" s="112"/>
      <c r="H3" s="113" t="str">
        <f t="shared" ref="H3:H32" si="3">IF(G3=0,,G3/C3)</f>
        <v/>
      </c>
      <c r="I3" s="114" t="str">
        <f t="shared" ref="I3:I32" si="4">if(G3="",,G3-F3)</f>
        <v/>
      </c>
      <c r="J3" s="115">
        <f>Diretrizes!F4</f>
        <v>0.04</v>
      </c>
      <c r="K3" s="116"/>
      <c r="L3" s="184"/>
      <c r="M3" s="118"/>
      <c r="N3" s="118"/>
      <c r="O3" s="101" t="s">
        <v>47</v>
      </c>
      <c r="P3" s="119" t="s">
        <v>48</v>
      </c>
      <c r="Q3" s="120"/>
      <c r="R3" s="121"/>
      <c r="S3" s="105"/>
      <c r="T3" s="122"/>
      <c r="U3" s="122"/>
      <c r="V3" s="107" t="str">
        <f t="shared" ref="V3:V91" si="5">if(L3="","", left(L3, find(" x ",L3)-1))</f>
        <v/>
      </c>
      <c r="W3" s="107" t="str">
        <f t="shared" ref="W3:W78" si="6">if(L3="","", TRIM(mid(L3,find(" x ",L3)+3,20)))</f>
        <v/>
      </c>
    </row>
    <row r="4" ht="18.0" customHeight="1">
      <c r="A4" s="93"/>
      <c r="B4" s="123">
        <f t="shared" ref="B4:B32" si="7">IF(B3&lt;$A$1,B3+1,if($A$1="",B3+1,""))</f>
        <v>2</v>
      </c>
      <c r="C4" s="110" t="str">
        <f t="shared" ref="C4:C33" si="8">IF(G3&lt;&gt;0,C3+G3,)</f>
        <v/>
      </c>
      <c r="D4" s="110" t="str">
        <f t="shared" ref="D4:D33" si="9">if(C4="",,D3*(1+J3))</f>
        <v/>
      </c>
      <c r="E4" s="124" t="str">
        <f t="shared" si="1"/>
        <v/>
      </c>
      <c r="F4" s="110" t="str">
        <f t="shared" si="2"/>
        <v/>
      </c>
      <c r="G4" s="125"/>
      <c r="H4" s="116" t="str">
        <f t="shared" si="3"/>
        <v/>
      </c>
      <c r="I4" s="126" t="str">
        <f t="shared" si="4"/>
        <v/>
      </c>
      <c r="J4" s="127">
        <f>if(B4&lt;&gt;"",J3*(1-Diretrizes!F$5),)</f>
        <v>0.04</v>
      </c>
      <c r="K4" s="116" t="str">
        <f t="shared" ref="K4:K12" si="10">IF(AND(D4&gt;$Q$9,D3&lt;$Q$9),"OK","NOK")</f>
        <v>NOK</v>
      </c>
      <c r="L4" s="185"/>
      <c r="M4" s="118"/>
      <c r="N4" s="118"/>
      <c r="O4" s="128"/>
      <c r="P4" s="121"/>
      <c r="Q4" s="121"/>
      <c r="R4" s="104"/>
      <c r="S4" s="105"/>
      <c r="T4" s="122"/>
      <c r="U4" s="122"/>
      <c r="V4" s="107" t="str">
        <f t="shared" si="5"/>
        <v/>
      </c>
      <c r="W4" s="107" t="str">
        <f t="shared" si="6"/>
        <v/>
      </c>
    </row>
    <row r="5" ht="18.0" customHeight="1">
      <c r="A5" s="93"/>
      <c r="B5" s="123">
        <f t="shared" si="7"/>
        <v>3</v>
      </c>
      <c r="C5" s="110" t="str">
        <f t="shared" si="8"/>
        <v/>
      </c>
      <c r="D5" s="110" t="str">
        <f t="shared" si="9"/>
        <v/>
      </c>
      <c r="E5" s="124" t="str">
        <f t="shared" si="1"/>
        <v/>
      </c>
      <c r="F5" s="110" t="str">
        <f t="shared" si="2"/>
        <v/>
      </c>
      <c r="G5" s="125"/>
      <c r="H5" s="116" t="str">
        <f t="shared" si="3"/>
        <v/>
      </c>
      <c r="I5" s="126" t="str">
        <f t="shared" si="4"/>
        <v/>
      </c>
      <c r="J5" s="127">
        <f>if(B5&lt;&gt;"",J4*(1-Diretrizes!F$5),)</f>
        <v>0.04</v>
      </c>
      <c r="K5" s="116" t="str">
        <f t="shared" si="10"/>
        <v>NOK</v>
      </c>
      <c r="L5" s="185"/>
      <c r="M5" s="118"/>
      <c r="N5" s="118"/>
      <c r="O5" s="130" t="s">
        <v>47</v>
      </c>
      <c r="P5" s="131" t="s">
        <v>6</v>
      </c>
      <c r="Q5" s="132">
        <f>Diretrizes!F3</f>
        <v>137.5</v>
      </c>
      <c r="R5" s="104"/>
      <c r="S5" s="131" t="s">
        <v>44</v>
      </c>
      <c r="T5" s="132">
        <f>SUM(I3:I32)</f>
        <v>0</v>
      </c>
      <c r="U5" s="133"/>
      <c r="V5" s="107" t="str">
        <f t="shared" si="5"/>
        <v/>
      </c>
      <c r="W5" s="107" t="str">
        <f t="shared" si="6"/>
        <v/>
      </c>
    </row>
    <row r="6" ht="18.0" customHeight="1">
      <c r="A6" s="93"/>
      <c r="B6" s="123">
        <f t="shared" si="7"/>
        <v>4</v>
      </c>
      <c r="C6" s="110" t="str">
        <f t="shared" si="8"/>
        <v/>
      </c>
      <c r="D6" s="110" t="str">
        <f t="shared" si="9"/>
        <v/>
      </c>
      <c r="E6" s="124" t="str">
        <f t="shared" si="1"/>
        <v/>
      </c>
      <c r="F6" s="110" t="str">
        <f t="shared" si="2"/>
        <v/>
      </c>
      <c r="G6" s="125"/>
      <c r="H6" s="116" t="str">
        <f t="shared" si="3"/>
        <v/>
      </c>
      <c r="I6" s="126" t="str">
        <f t="shared" si="4"/>
        <v/>
      </c>
      <c r="J6" s="127">
        <f>if(B6&lt;&gt;"",J5*(1-Diretrizes!F$5),)</f>
        <v>0.04</v>
      </c>
      <c r="K6" s="116" t="str">
        <f t="shared" si="10"/>
        <v>NOK</v>
      </c>
      <c r="L6" s="185"/>
      <c r="M6" s="118"/>
      <c r="N6" s="118"/>
      <c r="O6" s="130" t="s">
        <v>47</v>
      </c>
      <c r="P6" s="131" t="s">
        <v>49</v>
      </c>
      <c r="Q6" s="132">
        <f>Q7+C3</f>
        <v>137.5</v>
      </c>
      <c r="R6" s="135"/>
      <c r="S6" s="104"/>
      <c r="T6" s="136"/>
      <c r="U6" s="104"/>
      <c r="V6" s="107" t="str">
        <f t="shared" si="5"/>
        <v/>
      </c>
      <c r="W6" s="107" t="str">
        <f t="shared" si="6"/>
        <v/>
      </c>
    </row>
    <row r="7" ht="18.0" customHeight="1">
      <c r="A7" s="93"/>
      <c r="B7" s="123">
        <f t="shared" si="7"/>
        <v>5</v>
      </c>
      <c r="C7" s="110" t="str">
        <f t="shared" si="8"/>
        <v/>
      </c>
      <c r="D7" s="110" t="str">
        <f t="shared" si="9"/>
        <v/>
      </c>
      <c r="E7" s="124" t="str">
        <f t="shared" si="1"/>
        <v/>
      </c>
      <c r="F7" s="110" t="str">
        <f t="shared" si="2"/>
        <v/>
      </c>
      <c r="G7" s="137"/>
      <c r="H7" s="116" t="str">
        <f t="shared" si="3"/>
        <v/>
      </c>
      <c r="I7" s="126" t="str">
        <f t="shared" si="4"/>
        <v/>
      </c>
      <c r="J7" s="127">
        <f>if(B7&lt;&gt;"",J6*(1-Diretrizes!F$5),)</f>
        <v>0.04</v>
      </c>
      <c r="K7" s="116" t="str">
        <f t="shared" si="10"/>
        <v>NOK</v>
      </c>
      <c r="L7" s="185"/>
      <c r="M7" s="118"/>
      <c r="N7" s="118"/>
      <c r="O7" s="130"/>
      <c r="P7" s="131" t="s">
        <v>50</v>
      </c>
      <c r="Q7" s="132">
        <f>SUM(G3:G32)</f>
        <v>0</v>
      </c>
      <c r="R7" s="135"/>
      <c r="S7" s="102" t="s">
        <v>51</v>
      </c>
      <c r="T7" s="138" t="str">
        <f>IF(G3="",,max(0,Q6-'Ciclo 5'!Q5))</f>
        <v/>
      </c>
      <c r="U7" s="139"/>
      <c r="V7" s="107" t="str">
        <f t="shared" si="5"/>
        <v/>
      </c>
      <c r="W7" s="107" t="str">
        <f t="shared" si="6"/>
        <v/>
      </c>
    </row>
    <row r="8" ht="18.0" customHeight="1">
      <c r="A8" s="93"/>
      <c r="B8" s="123">
        <f t="shared" si="7"/>
        <v>6</v>
      </c>
      <c r="C8" s="110" t="str">
        <f t="shared" si="8"/>
        <v/>
      </c>
      <c r="D8" s="110" t="str">
        <f t="shared" si="9"/>
        <v/>
      </c>
      <c r="E8" s="124" t="str">
        <f t="shared" si="1"/>
        <v/>
      </c>
      <c r="F8" s="110" t="str">
        <f t="shared" si="2"/>
        <v/>
      </c>
      <c r="G8" s="137"/>
      <c r="H8" s="116" t="str">
        <f t="shared" si="3"/>
        <v/>
      </c>
      <c r="I8" s="126" t="str">
        <f t="shared" si="4"/>
        <v/>
      </c>
      <c r="J8" s="140">
        <f>if(B8&lt;&gt;"",J7*(1-Diretrizes!F$5),)</f>
        <v>0.04</v>
      </c>
      <c r="K8" s="116" t="str">
        <f t="shared" si="10"/>
        <v>NOK</v>
      </c>
      <c r="L8" s="185"/>
      <c r="M8" s="141"/>
      <c r="N8" s="141"/>
      <c r="O8" s="130" t="s">
        <v>47</v>
      </c>
      <c r="P8" s="142" t="s">
        <v>52</v>
      </c>
      <c r="Q8" s="143">
        <f>Q6/C3-1</f>
        <v>0</v>
      </c>
      <c r="R8" s="104"/>
      <c r="S8" s="104"/>
      <c r="T8" s="135"/>
      <c r="U8" s="135"/>
      <c r="V8" s="107" t="str">
        <f t="shared" si="5"/>
        <v/>
      </c>
      <c r="W8" s="107" t="str">
        <f t="shared" si="6"/>
        <v/>
      </c>
    </row>
    <row r="9" ht="18.0" customHeight="1">
      <c r="A9" s="93"/>
      <c r="B9" s="123">
        <f t="shared" si="7"/>
        <v>7</v>
      </c>
      <c r="C9" s="110" t="str">
        <f t="shared" si="8"/>
        <v/>
      </c>
      <c r="D9" s="110" t="str">
        <f t="shared" si="9"/>
        <v/>
      </c>
      <c r="E9" s="124" t="str">
        <f t="shared" si="1"/>
        <v/>
      </c>
      <c r="F9" s="110" t="str">
        <f t="shared" si="2"/>
        <v/>
      </c>
      <c r="G9" s="137"/>
      <c r="H9" s="116" t="str">
        <f t="shared" si="3"/>
        <v/>
      </c>
      <c r="I9" s="126" t="str">
        <f t="shared" si="4"/>
        <v/>
      </c>
      <c r="J9" s="127">
        <f>if(B9&lt;&gt;"",J8*(1-Diretrizes!F$5),)</f>
        <v>0.04</v>
      </c>
      <c r="K9" s="116" t="str">
        <f t="shared" si="10"/>
        <v>NOK</v>
      </c>
      <c r="L9" s="185"/>
      <c r="M9" s="141"/>
      <c r="N9" s="141"/>
      <c r="O9" s="130" t="s">
        <v>47</v>
      </c>
      <c r="P9" s="144"/>
      <c r="Q9" s="144"/>
      <c r="R9" s="104"/>
      <c r="S9" s="105"/>
      <c r="T9" s="122"/>
      <c r="U9" s="122"/>
      <c r="V9" s="107" t="str">
        <f t="shared" si="5"/>
        <v/>
      </c>
      <c r="W9" s="107" t="str">
        <f t="shared" si="6"/>
        <v/>
      </c>
    </row>
    <row r="10" ht="18.0" customHeight="1">
      <c r="A10" s="93"/>
      <c r="B10" s="123">
        <f t="shared" si="7"/>
        <v>8</v>
      </c>
      <c r="C10" s="110" t="str">
        <f t="shared" si="8"/>
        <v/>
      </c>
      <c r="D10" s="110" t="str">
        <f t="shared" si="9"/>
        <v/>
      </c>
      <c r="E10" s="124" t="str">
        <f t="shared" si="1"/>
        <v/>
      </c>
      <c r="F10" s="110" t="str">
        <f t="shared" si="2"/>
        <v/>
      </c>
      <c r="G10" s="137"/>
      <c r="H10" s="116" t="str">
        <f t="shared" si="3"/>
        <v/>
      </c>
      <c r="I10" s="126" t="str">
        <f t="shared" si="4"/>
        <v/>
      </c>
      <c r="J10" s="127">
        <f>if(B10&lt;&gt;"",J9*(1-Diretrizes!F$5),)</f>
        <v>0.04</v>
      </c>
      <c r="K10" s="116" t="str">
        <f t="shared" si="10"/>
        <v>NOK</v>
      </c>
      <c r="L10" s="185"/>
      <c r="M10" s="118"/>
      <c r="N10" s="141"/>
      <c r="O10" s="145" t="s">
        <v>47</v>
      </c>
      <c r="P10" s="131" t="s">
        <v>53</v>
      </c>
      <c r="Q10" s="132">
        <f>Diretrizes!F7</f>
        <v>206.25</v>
      </c>
      <c r="R10" s="146"/>
      <c r="S10" s="93"/>
      <c r="T10" s="147"/>
      <c r="U10" s="147"/>
      <c r="V10" s="107" t="str">
        <f t="shared" si="5"/>
        <v/>
      </c>
      <c r="W10" s="107" t="str">
        <f t="shared" si="6"/>
        <v/>
      </c>
    </row>
    <row r="11" ht="18.0" customHeight="1">
      <c r="A11" s="93"/>
      <c r="B11" s="123">
        <f t="shared" si="7"/>
        <v>9</v>
      </c>
      <c r="C11" s="110" t="str">
        <f t="shared" si="8"/>
        <v/>
      </c>
      <c r="D11" s="110" t="str">
        <f t="shared" si="9"/>
        <v/>
      </c>
      <c r="E11" s="124" t="str">
        <f t="shared" si="1"/>
        <v/>
      </c>
      <c r="F11" s="110" t="str">
        <f t="shared" si="2"/>
        <v/>
      </c>
      <c r="G11" s="137"/>
      <c r="H11" s="116" t="str">
        <f t="shared" si="3"/>
        <v/>
      </c>
      <c r="I11" s="126" t="str">
        <f t="shared" si="4"/>
        <v/>
      </c>
      <c r="J11" s="127">
        <f>if(B11&lt;&gt;"",J10*(1-Diretrizes!F$5),)</f>
        <v>0.04</v>
      </c>
      <c r="K11" s="116" t="str">
        <f t="shared" si="10"/>
        <v>NOK</v>
      </c>
      <c r="L11" s="185"/>
      <c r="M11" s="118"/>
      <c r="N11" s="118"/>
      <c r="O11" s="145"/>
      <c r="U11" s="147"/>
      <c r="V11" s="107" t="str">
        <f t="shared" si="5"/>
        <v/>
      </c>
      <c r="W11" s="107" t="str">
        <f t="shared" si="6"/>
        <v/>
      </c>
    </row>
    <row r="12" ht="18.0" customHeight="1">
      <c r="A12" s="93"/>
      <c r="B12" s="123">
        <f t="shared" si="7"/>
        <v>10</v>
      </c>
      <c r="C12" s="110" t="str">
        <f t="shared" si="8"/>
        <v/>
      </c>
      <c r="D12" s="110" t="str">
        <f t="shared" si="9"/>
        <v/>
      </c>
      <c r="E12" s="124" t="str">
        <f t="shared" si="1"/>
        <v/>
      </c>
      <c r="F12" s="110" t="str">
        <f t="shared" si="2"/>
        <v/>
      </c>
      <c r="G12" s="137"/>
      <c r="H12" s="116" t="str">
        <f t="shared" si="3"/>
        <v/>
      </c>
      <c r="I12" s="126" t="str">
        <f t="shared" si="4"/>
        <v/>
      </c>
      <c r="J12" s="127">
        <f>if(B12&lt;&gt;"",J11*(1-Diretrizes!F$5),)</f>
        <v>0.04</v>
      </c>
      <c r="K12" s="116" t="str">
        <f t="shared" si="10"/>
        <v>NOK</v>
      </c>
      <c r="L12" s="185"/>
      <c r="M12" s="118"/>
      <c r="N12" s="118"/>
      <c r="O12" s="148"/>
      <c r="P12" s="149" t="s">
        <v>54</v>
      </c>
      <c r="Q12" s="93"/>
      <c r="R12" s="93"/>
      <c r="S12" s="93"/>
      <c r="T12" s="147"/>
      <c r="U12" s="147"/>
      <c r="V12" s="107" t="str">
        <f t="shared" si="5"/>
        <v/>
      </c>
      <c r="W12" s="107" t="str">
        <f t="shared" si="6"/>
        <v/>
      </c>
    </row>
    <row r="13" ht="18.0" customHeight="1">
      <c r="A13" s="93"/>
      <c r="B13" s="123">
        <f t="shared" si="7"/>
        <v>11</v>
      </c>
      <c r="C13" s="110" t="str">
        <f t="shared" si="8"/>
        <v/>
      </c>
      <c r="D13" s="110" t="str">
        <f t="shared" si="9"/>
        <v/>
      </c>
      <c r="E13" s="124" t="str">
        <f t="shared" si="1"/>
        <v/>
      </c>
      <c r="F13" s="110" t="str">
        <f t="shared" si="2"/>
        <v/>
      </c>
      <c r="G13" s="137"/>
      <c r="H13" s="116" t="str">
        <f t="shared" si="3"/>
        <v/>
      </c>
      <c r="I13" s="126" t="str">
        <f t="shared" si="4"/>
        <v/>
      </c>
      <c r="J13" s="127">
        <f>if(B13&lt;&gt;"",J12*(1-Diretrizes!F$5),)</f>
        <v>0.04</v>
      </c>
      <c r="K13" s="116"/>
      <c r="L13" s="185"/>
      <c r="M13" s="150"/>
      <c r="N13" s="118"/>
      <c r="O13" s="151"/>
      <c r="P13" s="152" t="s">
        <v>24</v>
      </c>
      <c r="Q13" s="153" t="s">
        <v>26</v>
      </c>
      <c r="R13" s="153" t="s">
        <v>55</v>
      </c>
      <c r="S13" s="153" t="s">
        <v>27</v>
      </c>
      <c r="T13" s="154" t="s">
        <v>28</v>
      </c>
      <c r="U13" s="147"/>
      <c r="V13" s="107" t="str">
        <f t="shared" si="5"/>
        <v/>
      </c>
      <c r="W13" s="107" t="str">
        <f t="shared" si="6"/>
        <v/>
      </c>
    </row>
    <row r="14" ht="18.0" customHeight="1">
      <c r="A14" s="93"/>
      <c r="B14" s="123">
        <f t="shared" si="7"/>
        <v>12</v>
      </c>
      <c r="C14" s="110" t="str">
        <f t="shared" si="8"/>
        <v/>
      </c>
      <c r="D14" s="110" t="str">
        <f t="shared" si="9"/>
        <v/>
      </c>
      <c r="E14" s="124" t="str">
        <f t="shared" si="1"/>
        <v/>
      </c>
      <c r="F14" s="110" t="str">
        <f t="shared" si="2"/>
        <v/>
      </c>
      <c r="G14" s="137"/>
      <c r="H14" s="116" t="str">
        <f t="shared" si="3"/>
        <v/>
      </c>
      <c r="I14" s="126" t="str">
        <f t="shared" si="4"/>
        <v/>
      </c>
      <c r="J14" s="127">
        <f>if(B14&lt;&gt;"",J13*(1-Diretrizes!F$5),)</f>
        <v>0.04</v>
      </c>
      <c r="K14" s="116"/>
      <c r="L14" s="185"/>
      <c r="M14" s="150"/>
      <c r="N14" s="118"/>
      <c r="O14" s="148"/>
      <c r="P14" s="155" t="str">
        <f t="array" ref="P14">sort(unique(M3:M122))</f>
        <v/>
      </c>
      <c r="Q14" s="156" t="str">
        <f t="shared" ref="Q14:Q24" si="11">if(P14="","", sumif(M$3:M122,P14,G$3:G122))</f>
        <v/>
      </c>
      <c r="R14" s="157" t="str">
        <f t="shared" ref="R14:R24" si="12">if(P14="","", countif(M$3:M122,P14))</f>
        <v/>
      </c>
      <c r="S14" s="158" t="str">
        <f t="shared" ref="S14:S24" si="13">if(P14="","", averageif(M$3:M122,P14,H$3:H122))</f>
        <v/>
      </c>
      <c r="T14" s="158" t="str">
        <f t="shared" ref="T14:T24" si="14">if(P14="","",Q14/sum($G$3:$G122))</f>
        <v/>
      </c>
      <c r="U14" s="147"/>
      <c r="V14" s="107" t="str">
        <f t="shared" si="5"/>
        <v/>
      </c>
      <c r="W14" s="107" t="str">
        <f t="shared" si="6"/>
        <v/>
      </c>
    </row>
    <row r="15" ht="18.0" customHeight="1">
      <c r="A15" s="93"/>
      <c r="B15" s="123" t="str">
        <f t="shared" si="7"/>
        <v/>
      </c>
      <c r="C15" s="110" t="str">
        <f t="shared" si="8"/>
        <v/>
      </c>
      <c r="D15" s="110" t="str">
        <f t="shared" si="9"/>
        <v/>
      </c>
      <c r="E15" s="124" t="str">
        <f t="shared" si="1"/>
        <v/>
      </c>
      <c r="F15" s="110" t="str">
        <f t="shared" si="2"/>
        <v/>
      </c>
      <c r="G15" s="137"/>
      <c r="H15" s="116" t="str">
        <f t="shared" si="3"/>
        <v/>
      </c>
      <c r="I15" s="126" t="str">
        <f t="shared" si="4"/>
        <v/>
      </c>
      <c r="J15" s="127" t="str">
        <f>if(B15&lt;&gt;"",J14*(1-Diretrizes!F$5),)</f>
        <v/>
      </c>
      <c r="K15" s="116"/>
      <c r="L15" s="185"/>
      <c r="M15" s="150"/>
      <c r="N15" s="118"/>
      <c r="O15" s="148"/>
      <c r="P15" s="155"/>
      <c r="Q15" s="156" t="str">
        <f t="shared" si="11"/>
        <v/>
      </c>
      <c r="R15" s="157" t="str">
        <f t="shared" si="12"/>
        <v/>
      </c>
      <c r="S15" s="158" t="str">
        <f t="shared" si="13"/>
        <v/>
      </c>
      <c r="T15" s="158" t="str">
        <f t="shared" si="14"/>
        <v/>
      </c>
      <c r="U15" s="147"/>
      <c r="V15" s="107" t="str">
        <f t="shared" si="5"/>
        <v/>
      </c>
      <c r="W15" s="107" t="str">
        <f t="shared" si="6"/>
        <v/>
      </c>
    </row>
    <row r="16" ht="18.0" customHeight="1">
      <c r="A16" s="93"/>
      <c r="B16" s="123" t="str">
        <f t="shared" si="7"/>
        <v/>
      </c>
      <c r="C16" s="110" t="str">
        <f t="shared" si="8"/>
        <v/>
      </c>
      <c r="D16" s="110" t="str">
        <f t="shared" si="9"/>
        <v/>
      </c>
      <c r="E16" s="124" t="str">
        <f t="shared" si="1"/>
        <v/>
      </c>
      <c r="F16" s="110" t="str">
        <f t="shared" si="2"/>
        <v/>
      </c>
      <c r="G16" s="137"/>
      <c r="H16" s="116" t="str">
        <f t="shared" si="3"/>
        <v/>
      </c>
      <c r="I16" s="126" t="str">
        <f t="shared" si="4"/>
        <v/>
      </c>
      <c r="J16" s="127" t="str">
        <f>if(B16&lt;&gt;"",J15*(1-Diretrizes!F$5),)</f>
        <v/>
      </c>
      <c r="K16" s="116"/>
      <c r="L16" s="185"/>
      <c r="M16" s="150"/>
      <c r="N16" s="118"/>
      <c r="O16" s="148"/>
      <c r="P16" s="155"/>
      <c r="Q16" s="156" t="str">
        <f t="shared" si="11"/>
        <v/>
      </c>
      <c r="R16" s="157" t="str">
        <f t="shared" si="12"/>
        <v/>
      </c>
      <c r="S16" s="158" t="str">
        <f t="shared" si="13"/>
        <v/>
      </c>
      <c r="T16" s="158" t="str">
        <f t="shared" si="14"/>
        <v/>
      </c>
      <c r="U16" s="147"/>
      <c r="V16" s="107" t="str">
        <f t="shared" si="5"/>
        <v/>
      </c>
      <c r="W16" s="107" t="str">
        <f t="shared" si="6"/>
        <v/>
      </c>
    </row>
    <row r="17" ht="18.0" customHeight="1">
      <c r="A17" s="93"/>
      <c r="B17" s="123" t="str">
        <f t="shared" si="7"/>
        <v/>
      </c>
      <c r="C17" s="110" t="str">
        <f t="shared" si="8"/>
        <v/>
      </c>
      <c r="D17" s="110" t="str">
        <f t="shared" si="9"/>
        <v/>
      </c>
      <c r="E17" s="124" t="str">
        <f t="shared" si="1"/>
        <v/>
      </c>
      <c r="F17" s="110" t="str">
        <f t="shared" si="2"/>
        <v/>
      </c>
      <c r="G17" s="137"/>
      <c r="H17" s="116" t="str">
        <f t="shared" si="3"/>
        <v/>
      </c>
      <c r="I17" s="126" t="str">
        <f t="shared" si="4"/>
        <v/>
      </c>
      <c r="J17" s="127" t="str">
        <f>if(B17&lt;&gt;"",J16*(1-Diretrizes!F$5),)</f>
        <v/>
      </c>
      <c r="K17" s="116"/>
      <c r="L17" s="185"/>
      <c r="M17" s="150"/>
      <c r="N17" s="118"/>
      <c r="O17" s="148"/>
      <c r="P17" s="155"/>
      <c r="Q17" s="156" t="str">
        <f t="shared" si="11"/>
        <v/>
      </c>
      <c r="R17" s="157" t="str">
        <f t="shared" si="12"/>
        <v/>
      </c>
      <c r="S17" s="158" t="str">
        <f t="shared" si="13"/>
        <v/>
      </c>
      <c r="T17" s="158" t="str">
        <f t="shared" si="14"/>
        <v/>
      </c>
      <c r="U17" s="147"/>
      <c r="V17" s="107" t="str">
        <f t="shared" si="5"/>
        <v/>
      </c>
      <c r="W17" s="107" t="str">
        <f t="shared" si="6"/>
        <v/>
      </c>
    </row>
    <row r="18" ht="18.0" customHeight="1">
      <c r="A18" s="93"/>
      <c r="B18" s="123" t="str">
        <f t="shared" si="7"/>
        <v/>
      </c>
      <c r="C18" s="110" t="str">
        <f t="shared" si="8"/>
        <v/>
      </c>
      <c r="D18" s="110" t="str">
        <f t="shared" si="9"/>
        <v/>
      </c>
      <c r="E18" s="124" t="str">
        <f t="shared" si="1"/>
        <v/>
      </c>
      <c r="F18" s="110" t="str">
        <f t="shared" si="2"/>
        <v/>
      </c>
      <c r="G18" s="137"/>
      <c r="H18" s="116" t="str">
        <f t="shared" si="3"/>
        <v/>
      </c>
      <c r="I18" s="126" t="str">
        <f t="shared" si="4"/>
        <v/>
      </c>
      <c r="J18" s="127" t="str">
        <f>if(B18&lt;&gt;"",J17*(1-Diretrizes!F$5),)</f>
        <v/>
      </c>
      <c r="K18" s="116"/>
      <c r="L18" s="185"/>
      <c r="M18" s="150"/>
      <c r="N18" s="118"/>
      <c r="O18" s="159"/>
      <c r="P18" s="155"/>
      <c r="Q18" s="156" t="str">
        <f t="shared" si="11"/>
        <v/>
      </c>
      <c r="R18" s="157" t="str">
        <f t="shared" si="12"/>
        <v/>
      </c>
      <c r="S18" s="158" t="str">
        <f t="shared" si="13"/>
        <v/>
      </c>
      <c r="T18" s="158" t="str">
        <f t="shared" si="14"/>
        <v/>
      </c>
      <c r="U18" s="160"/>
      <c r="V18" s="107" t="str">
        <f t="shared" si="5"/>
        <v/>
      </c>
      <c r="W18" s="107" t="str">
        <f t="shared" si="6"/>
        <v/>
      </c>
    </row>
    <row r="19" ht="18.0" customHeight="1">
      <c r="A19" s="93"/>
      <c r="B19" s="123" t="str">
        <f t="shared" si="7"/>
        <v/>
      </c>
      <c r="C19" s="110" t="str">
        <f t="shared" si="8"/>
        <v/>
      </c>
      <c r="D19" s="110" t="str">
        <f t="shared" si="9"/>
        <v/>
      </c>
      <c r="E19" s="124" t="str">
        <f t="shared" si="1"/>
        <v/>
      </c>
      <c r="F19" s="110" t="str">
        <f t="shared" si="2"/>
        <v/>
      </c>
      <c r="G19" s="137"/>
      <c r="H19" s="116" t="str">
        <f t="shared" si="3"/>
        <v/>
      </c>
      <c r="I19" s="126" t="str">
        <f t="shared" si="4"/>
        <v/>
      </c>
      <c r="J19" s="127" t="str">
        <f>if(B19&lt;&gt;"",J18*(1-Diretrizes!F$5),)</f>
        <v/>
      </c>
      <c r="K19" s="116"/>
      <c r="L19" s="185"/>
      <c r="M19" s="150"/>
      <c r="N19" s="118"/>
      <c r="O19" s="148"/>
      <c r="P19" s="155"/>
      <c r="Q19" s="156" t="str">
        <f t="shared" si="11"/>
        <v/>
      </c>
      <c r="R19" s="157" t="str">
        <f t="shared" si="12"/>
        <v/>
      </c>
      <c r="S19" s="158" t="str">
        <f t="shared" si="13"/>
        <v/>
      </c>
      <c r="T19" s="158" t="str">
        <f t="shared" si="14"/>
        <v/>
      </c>
      <c r="U19" s="147"/>
      <c r="V19" s="107" t="str">
        <f t="shared" si="5"/>
        <v/>
      </c>
      <c r="W19" s="107" t="str">
        <f t="shared" si="6"/>
        <v/>
      </c>
    </row>
    <row r="20" ht="18.0" customHeight="1">
      <c r="A20" s="93"/>
      <c r="B20" s="123" t="str">
        <f t="shared" si="7"/>
        <v/>
      </c>
      <c r="C20" s="110" t="str">
        <f t="shared" si="8"/>
        <v/>
      </c>
      <c r="D20" s="110" t="str">
        <f t="shared" si="9"/>
        <v/>
      </c>
      <c r="E20" s="124" t="str">
        <f t="shared" si="1"/>
        <v/>
      </c>
      <c r="F20" s="110" t="str">
        <f t="shared" si="2"/>
        <v/>
      </c>
      <c r="G20" s="137"/>
      <c r="H20" s="116" t="str">
        <f t="shared" si="3"/>
        <v/>
      </c>
      <c r="I20" s="126" t="str">
        <f t="shared" si="4"/>
        <v/>
      </c>
      <c r="J20" s="127" t="str">
        <f>if(B20&lt;&gt;"",J19*(1-Diretrizes!F$5),)</f>
        <v/>
      </c>
      <c r="K20" s="116"/>
      <c r="L20" s="185"/>
      <c r="M20" s="150"/>
      <c r="N20" s="118"/>
      <c r="O20" s="148"/>
      <c r="P20" s="155"/>
      <c r="Q20" s="156" t="str">
        <f t="shared" si="11"/>
        <v/>
      </c>
      <c r="R20" s="157" t="str">
        <f t="shared" si="12"/>
        <v/>
      </c>
      <c r="S20" s="158" t="str">
        <f t="shared" si="13"/>
        <v/>
      </c>
      <c r="T20" s="158" t="str">
        <f t="shared" si="14"/>
        <v/>
      </c>
      <c r="U20" s="147"/>
      <c r="V20" s="107" t="str">
        <f t="shared" si="5"/>
        <v/>
      </c>
      <c r="W20" s="107" t="str">
        <f t="shared" si="6"/>
        <v/>
      </c>
    </row>
    <row r="21" ht="18.0" customHeight="1">
      <c r="A21" s="93"/>
      <c r="B21" s="123" t="str">
        <f t="shared" si="7"/>
        <v/>
      </c>
      <c r="C21" s="110" t="str">
        <f t="shared" si="8"/>
        <v/>
      </c>
      <c r="D21" s="110" t="str">
        <f t="shared" si="9"/>
        <v/>
      </c>
      <c r="E21" s="124" t="str">
        <f t="shared" si="1"/>
        <v/>
      </c>
      <c r="F21" s="110" t="str">
        <f t="shared" si="2"/>
        <v/>
      </c>
      <c r="G21" s="137"/>
      <c r="H21" s="116" t="str">
        <f t="shared" si="3"/>
        <v/>
      </c>
      <c r="I21" s="126" t="str">
        <f t="shared" si="4"/>
        <v/>
      </c>
      <c r="J21" s="127" t="str">
        <f>if(B21&lt;&gt;"",J20*(1-Diretrizes!F$5),)</f>
        <v/>
      </c>
      <c r="K21" s="116"/>
      <c r="L21" s="185"/>
      <c r="M21" s="150"/>
      <c r="N21" s="118"/>
      <c r="O21" s="148"/>
      <c r="P21" s="155"/>
      <c r="Q21" s="156" t="str">
        <f t="shared" si="11"/>
        <v/>
      </c>
      <c r="R21" s="157" t="str">
        <f t="shared" si="12"/>
        <v/>
      </c>
      <c r="S21" s="158" t="str">
        <f t="shared" si="13"/>
        <v/>
      </c>
      <c r="T21" s="158" t="str">
        <f t="shared" si="14"/>
        <v/>
      </c>
      <c r="U21" s="147"/>
      <c r="V21" s="107" t="str">
        <f t="shared" si="5"/>
        <v/>
      </c>
      <c r="W21" s="107" t="str">
        <f t="shared" si="6"/>
        <v/>
      </c>
    </row>
    <row r="22" ht="18.0" customHeight="1">
      <c r="A22" s="93"/>
      <c r="B22" s="123" t="str">
        <f t="shared" si="7"/>
        <v/>
      </c>
      <c r="C22" s="110" t="str">
        <f t="shared" si="8"/>
        <v/>
      </c>
      <c r="D22" s="110" t="str">
        <f t="shared" si="9"/>
        <v/>
      </c>
      <c r="E22" s="124" t="str">
        <f t="shared" si="1"/>
        <v/>
      </c>
      <c r="F22" s="110" t="str">
        <f t="shared" si="2"/>
        <v/>
      </c>
      <c r="G22" s="137"/>
      <c r="H22" s="116" t="str">
        <f t="shared" si="3"/>
        <v/>
      </c>
      <c r="I22" s="126" t="str">
        <f t="shared" si="4"/>
        <v/>
      </c>
      <c r="J22" s="127" t="str">
        <f>if(B22&lt;&gt;"",J21*(1-Diretrizes!F$5),)</f>
        <v/>
      </c>
      <c r="K22" s="116"/>
      <c r="L22" s="185"/>
      <c r="M22" s="150"/>
      <c r="N22" s="118"/>
      <c r="O22" s="148"/>
      <c r="P22" s="155"/>
      <c r="Q22" s="156" t="str">
        <f t="shared" si="11"/>
        <v/>
      </c>
      <c r="R22" s="157" t="str">
        <f t="shared" si="12"/>
        <v/>
      </c>
      <c r="S22" s="158" t="str">
        <f t="shared" si="13"/>
        <v/>
      </c>
      <c r="T22" s="158" t="str">
        <f t="shared" si="14"/>
        <v/>
      </c>
      <c r="U22" s="147"/>
      <c r="V22" s="107" t="str">
        <f t="shared" si="5"/>
        <v/>
      </c>
      <c r="W22" s="107" t="str">
        <f t="shared" si="6"/>
        <v/>
      </c>
    </row>
    <row r="23" ht="18.0" customHeight="1">
      <c r="A23" s="93"/>
      <c r="B23" s="123" t="str">
        <f t="shared" si="7"/>
        <v/>
      </c>
      <c r="C23" s="110" t="str">
        <f t="shared" si="8"/>
        <v/>
      </c>
      <c r="D23" s="110" t="str">
        <f t="shared" si="9"/>
        <v/>
      </c>
      <c r="E23" s="124" t="str">
        <f t="shared" si="1"/>
        <v/>
      </c>
      <c r="F23" s="110" t="str">
        <f t="shared" si="2"/>
        <v/>
      </c>
      <c r="G23" s="137"/>
      <c r="H23" s="116" t="str">
        <f t="shared" si="3"/>
        <v/>
      </c>
      <c r="I23" s="126" t="str">
        <f t="shared" si="4"/>
        <v/>
      </c>
      <c r="J23" s="127" t="str">
        <f>if(B23&lt;&gt;"",J22*(1-Diretrizes!F$5),)</f>
        <v/>
      </c>
      <c r="K23" s="116"/>
      <c r="L23" s="185"/>
      <c r="M23" s="150"/>
      <c r="N23" s="118"/>
      <c r="O23" s="148"/>
      <c r="P23" s="155"/>
      <c r="Q23" s="156" t="str">
        <f t="shared" si="11"/>
        <v/>
      </c>
      <c r="R23" s="157" t="str">
        <f t="shared" si="12"/>
        <v/>
      </c>
      <c r="S23" s="158" t="str">
        <f t="shared" si="13"/>
        <v/>
      </c>
      <c r="T23" s="158" t="str">
        <f t="shared" si="14"/>
        <v/>
      </c>
      <c r="U23" s="147"/>
      <c r="V23" s="107" t="str">
        <f t="shared" si="5"/>
        <v/>
      </c>
      <c r="W23" s="107" t="str">
        <f t="shared" si="6"/>
        <v/>
      </c>
    </row>
    <row r="24" ht="18.0" customHeight="1">
      <c r="A24" s="93"/>
      <c r="B24" s="123" t="str">
        <f t="shared" si="7"/>
        <v/>
      </c>
      <c r="C24" s="110" t="str">
        <f t="shared" si="8"/>
        <v/>
      </c>
      <c r="D24" s="110" t="str">
        <f t="shared" si="9"/>
        <v/>
      </c>
      <c r="E24" s="124" t="str">
        <f t="shared" si="1"/>
        <v/>
      </c>
      <c r="F24" s="110" t="str">
        <f t="shared" si="2"/>
        <v/>
      </c>
      <c r="G24" s="137"/>
      <c r="H24" s="116" t="str">
        <f t="shared" si="3"/>
        <v/>
      </c>
      <c r="I24" s="126" t="str">
        <f t="shared" si="4"/>
        <v/>
      </c>
      <c r="J24" s="127" t="str">
        <f>if(B24&lt;&gt;"",J23*(1-Diretrizes!F$5),)</f>
        <v/>
      </c>
      <c r="K24" s="116"/>
      <c r="L24" s="185"/>
      <c r="M24" s="150"/>
      <c r="N24" s="118"/>
      <c r="O24" s="148"/>
      <c r="P24" s="161"/>
      <c r="Q24" s="161" t="str">
        <f t="shared" si="11"/>
        <v/>
      </c>
      <c r="R24" s="161" t="str">
        <f t="shared" si="12"/>
        <v/>
      </c>
      <c r="S24" s="161" t="str">
        <f t="shared" si="13"/>
        <v/>
      </c>
      <c r="T24" s="161" t="str">
        <f t="shared" si="14"/>
        <v/>
      </c>
      <c r="U24" s="147"/>
      <c r="V24" s="107" t="str">
        <f t="shared" si="5"/>
        <v/>
      </c>
      <c r="W24" s="107" t="str">
        <f t="shared" si="6"/>
        <v/>
      </c>
    </row>
    <row r="25" ht="18.0" customHeight="1">
      <c r="A25" s="93"/>
      <c r="B25" s="123" t="str">
        <f t="shared" si="7"/>
        <v/>
      </c>
      <c r="C25" s="110" t="str">
        <f t="shared" si="8"/>
        <v/>
      </c>
      <c r="D25" s="110" t="str">
        <f t="shared" si="9"/>
        <v/>
      </c>
      <c r="E25" s="124" t="str">
        <f t="shared" si="1"/>
        <v/>
      </c>
      <c r="F25" s="110" t="str">
        <f t="shared" si="2"/>
        <v/>
      </c>
      <c r="G25" s="137"/>
      <c r="H25" s="116" t="str">
        <f t="shared" si="3"/>
        <v/>
      </c>
      <c r="I25" s="126" t="str">
        <f t="shared" si="4"/>
        <v/>
      </c>
      <c r="J25" s="127" t="str">
        <f>if(B25&lt;&gt;"",J24*(1-Diretrizes!F$5),)</f>
        <v/>
      </c>
      <c r="K25" s="116"/>
      <c r="L25" s="185"/>
      <c r="M25" s="150"/>
      <c r="N25" s="118"/>
      <c r="O25" s="148"/>
      <c r="P25" s="149" t="s">
        <v>56</v>
      </c>
      <c r="Q25" s="147"/>
      <c r="R25" s="93"/>
      <c r="S25" s="93"/>
      <c r="T25" s="147"/>
      <c r="U25" s="147"/>
      <c r="V25" s="107" t="str">
        <f t="shared" si="5"/>
        <v/>
      </c>
      <c r="W25" s="107" t="str">
        <f t="shared" si="6"/>
        <v/>
      </c>
    </row>
    <row r="26" ht="18.0" customHeight="1">
      <c r="A26" s="93"/>
      <c r="B26" s="123" t="str">
        <f t="shared" si="7"/>
        <v/>
      </c>
      <c r="C26" s="110" t="str">
        <f t="shared" si="8"/>
        <v/>
      </c>
      <c r="D26" s="110" t="str">
        <f t="shared" si="9"/>
        <v/>
      </c>
      <c r="E26" s="124" t="str">
        <f t="shared" si="1"/>
        <v/>
      </c>
      <c r="F26" s="110" t="str">
        <f t="shared" si="2"/>
        <v/>
      </c>
      <c r="G26" s="137"/>
      <c r="H26" s="116" t="str">
        <f t="shared" si="3"/>
        <v/>
      </c>
      <c r="I26" s="126" t="str">
        <f t="shared" si="4"/>
        <v/>
      </c>
      <c r="J26" s="127" t="str">
        <f>if(B26&lt;&gt;"",J25*(1-Diretrizes!F$5),)</f>
        <v/>
      </c>
      <c r="K26" s="116"/>
      <c r="L26" s="185"/>
      <c r="M26" s="150"/>
      <c r="N26" s="118"/>
      <c r="O26" s="148"/>
      <c r="P26" s="152" t="s">
        <v>24</v>
      </c>
      <c r="Q26" s="153" t="s">
        <v>26</v>
      </c>
      <c r="R26" s="153" t="s">
        <v>55</v>
      </c>
      <c r="S26" s="153" t="s">
        <v>27</v>
      </c>
      <c r="T26" s="154" t="s">
        <v>28</v>
      </c>
      <c r="U26" s="147"/>
      <c r="V26" s="107" t="str">
        <f t="shared" si="5"/>
        <v/>
      </c>
      <c r="W26" s="107" t="str">
        <f t="shared" si="6"/>
        <v/>
      </c>
    </row>
    <row r="27" ht="18.0" customHeight="1">
      <c r="A27" s="93"/>
      <c r="B27" s="123" t="str">
        <f t="shared" si="7"/>
        <v/>
      </c>
      <c r="C27" s="110" t="str">
        <f t="shared" si="8"/>
        <v/>
      </c>
      <c r="D27" s="110" t="str">
        <f t="shared" si="9"/>
        <v/>
      </c>
      <c r="E27" s="124" t="str">
        <f t="shared" si="1"/>
        <v/>
      </c>
      <c r="F27" s="110" t="str">
        <f t="shared" si="2"/>
        <v/>
      </c>
      <c r="G27" s="137"/>
      <c r="H27" s="116" t="str">
        <f t="shared" si="3"/>
        <v/>
      </c>
      <c r="I27" s="126" t="str">
        <f t="shared" si="4"/>
        <v/>
      </c>
      <c r="J27" s="127" t="str">
        <f>if(B27&lt;&gt;"",J26*(1-Diretrizes!F$5),)</f>
        <v/>
      </c>
      <c r="K27" s="116"/>
      <c r="L27" s="185"/>
      <c r="M27" s="150"/>
      <c r="N27" s="118"/>
      <c r="O27" s="148"/>
      <c r="P27" s="155" t="str">
        <f t="array" ref="P27">sort(unique(N3:N122))</f>
        <v/>
      </c>
      <c r="Q27" s="156" t="str">
        <f t="shared" ref="Q27:Q37" si="15">if(P27="","", sumif(N$3:N122,P27,G$3:G122))</f>
        <v/>
      </c>
      <c r="R27" s="157" t="str">
        <f t="shared" ref="R27:R37" si="16">if(P27="","", countif(N$3:N122,P27))</f>
        <v/>
      </c>
      <c r="S27" s="158" t="str">
        <f t="shared" ref="S27:S37" si="17">if(P27="","", averageif(N$3:N122,P27,H$3:H122))</f>
        <v/>
      </c>
      <c r="T27" s="158" t="str">
        <f t="shared" ref="T27:T37" si="18">if(P27="","",Q27/sum($G3:$G122))</f>
        <v/>
      </c>
      <c r="U27" s="147"/>
      <c r="V27" s="107" t="str">
        <f t="shared" si="5"/>
        <v/>
      </c>
      <c r="W27" s="107" t="str">
        <f t="shared" si="6"/>
        <v/>
      </c>
    </row>
    <row r="28" ht="18.0" customHeight="1">
      <c r="A28" s="93"/>
      <c r="B28" s="123" t="str">
        <f t="shared" si="7"/>
        <v/>
      </c>
      <c r="C28" s="110" t="str">
        <f t="shared" si="8"/>
        <v/>
      </c>
      <c r="D28" s="110" t="str">
        <f t="shared" si="9"/>
        <v/>
      </c>
      <c r="E28" s="124" t="str">
        <f t="shared" si="1"/>
        <v/>
      </c>
      <c r="F28" s="110" t="str">
        <f t="shared" si="2"/>
        <v/>
      </c>
      <c r="G28" s="137"/>
      <c r="H28" s="116" t="str">
        <f t="shared" si="3"/>
        <v/>
      </c>
      <c r="I28" s="126" t="str">
        <f t="shared" si="4"/>
        <v/>
      </c>
      <c r="J28" s="127" t="str">
        <f>if(B28&lt;&gt;"",J27*(1-Diretrizes!F$5),)</f>
        <v/>
      </c>
      <c r="K28" s="116"/>
      <c r="L28" s="185"/>
      <c r="M28" s="150"/>
      <c r="N28" s="118"/>
      <c r="O28" s="148"/>
      <c r="P28" s="155"/>
      <c r="Q28" s="156" t="str">
        <f t="shared" si="15"/>
        <v/>
      </c>
      <c r="R28" s="157" t="str">
        <f t="shared" si="16"/>
        <v/>
      </c>
      <c r="S28" s="158" t="str">
        <f t="shared" si="17"/>
        <v/>
      </c>
      <c r="T28" s="158" t="str">
        <f t="shared" si="18"/>
        <v/>
      </c>
      <c r="U28" s="147"/>
      <c r="V28" s="107" t="str">
        <f t="shared" si="5"/>
        <v/>
      </c>
      <c r="W28" s="107" t="str">
        <f t="shared" si="6"/>
        <v/>
      </c>
    </row>
    <row r="29" ht="18.0" customHeight="1">
      <c r="A29" s="93"/>
      <c r="B29" s="123" t="str">
        <f t="shared" si="7"/>
        <v/>
      </c>
      <c r="C29" s="110" t="str">
        <f t="shared" si="8"/>
        <v/>
      </c>
      <c r="D29" s="110" t="str">
        <f t="shared" si="9"/>
        <v/>
      </c>
      <c r="E29" s="124" t="str">
        <f t="shared" si="1"/>
        <v/>
      </c>
      <c r="F29" s="110" t="str">
        <f t="shared" si="2"/>
        <v/>
      </c>
      <c r="G29" s="137"/>
      <c r="H29" s="116" t="str">
        <f t="shared" si="3"/>
        <v/>
      </c>
      <c r="I29" s="126" t="str">
        <f t="shared" si="4"/>
        <v/>
      </c>
      <c r="J29" s="127" t="str">
        <f>if(B29&lt;&gt;"",J28*(1-Diretrizes!F$5),)</f>
        <v/>
      </c>
      <c r="K29" s="116"/>
      <c r="L29" s="185"/>
      <c r="M29" s="150"/>
      <c r="N29" s="118"/>
      <c r="O29" s="148"/>
      <c r="P29" s="155"/>
      <c r="Q29" s="156" t="str">
        <f t="shared" si="15"/>
        <v/>
      </c>
      <c r="R29" s="157" t="str">
        <f t="shared" si="16"/>
        <v/>
      </c>
      <c r="S29" s="158" t="str">
        <f t="shared" si="17"/>
        <v/>
      </c>
      <c r="T29" s="158" t="str">
        <f t="shared" si="18"/>
        <v/>
      </c>
      <c r="U29" s="147"/>
      <c r="V29" s="107" t="str">
        <f t="shared" si="5"/>
        <v/>
      </c>
      <c r="W29" s="107" t="str">
        <f t="shared" si="6"/>
        <v/>
      </c>
    </row>
    <row r="30" ht="18.0" customHeight="1">
      <c r="A30" s="93"/>
      <c r="B30" s="123" t="str">
        <f t="shared" si="7"/>
        <v/>
      </c>
      <c r="C30" s="110" t="str">
        <f t="shared" si="8"/>
        <v/>
      </c>
      <c r="D30" s="110" t="str">
        <f t="shared" si="9"/>
        <v/>
      </c>
      <c r="E30" s="124" t="str">
        <f t="shared" si="1"/>
        <v/>
      </c>
      <c r="F30" s="110" t="str">
        <f t="shared" si="2"/>
        <v/>
      </c>
      <c r="G30" s="137"/>
      <c r="H30" s="116" t="str">
        <f t="shared" si="3"/>
        <v/>
      </c>
      <c r="I30" s="126" t="str">
        <f t="shared" si="4"/>
        <v/>
      </c>
      <c r="J30" s="127" t="str">
        <f>if(B30&lt;&gt;"",J29*(1-Diretrizes!F$5),)</f>
        <v/>
      </c>
      <c r="K30" s="116"/>
      <c r="L30" s="185"/>
      <c r="M30" s="150"/>
      <c r="N30" s="118"/>
      <c r="O30" s="148"/>
      <c r="P30" s="155"/>
      <c r="Q30" s="156" t="str">
        <f t="shared" si="15"/>
        <v/>
      </c>
      <c r="R30" s="157" t="str">
        <f t="shared" si="16"/>
        <v/>
      </c>
      <c r="S30" s="158" t="str">
        <f t="shared" si="17"/>
        <v/>
      </c>
      <c r="T30" s="158" t="str">
        <f t="shared" si="18"/>
        <v/>
      </c>
      <c r="U30" s="147"/>
      <c r="V30" s="107" t="str">
        <f t="shared" si="5"/>
        <v/>
      </c>
      <c r="W30" s="107" t="str">
        <f t="shared" si="6"/>
        <v/>
      </c>
    </row>
    <row r="31" ht="18.0" customHeight="1">
      <c r="A31" s="93"/>
      <c r="B31" s="123" t="str">
        <f t="shared" si="7"/>
        <v/>
      </c>
      <c r="C31" s="110" t="str">
        <f t="shared" si="8"/>
        <v/>
      </c>
      <c r="D31" s="110" t="str">
        <f t="shared" si="9"/>
        <v/>
      </c>
      <c r="E31" s="124" t="str">
        <f t="shared" si="1"/>
        <v/>
      </c>
      <c r="F31" s="110" t="str">
        <f t="shared" si="2"/>
        <v/>
      </c>
      <c r="G31" s="137"/>
      <c r="H31" s="116" t="str">
        <f t="shared" si="3"/>
        <v/>
      </c>
      <c r="I31" s="126" t="str">
        <f t="shared" si="4"/>
        <v/>
      </c>
      <c r="J31" s="127" t="str">
        <f>if(B31&lt;&gt;"",J30*(1-Diretrizes!F$5),)</f>
        <v/>
      </c>
      <c r="K31" s="116"/>
      <c r="L31" s="185"/>
      <c r="M31" s="150"/>
      <c r="N31" s="118"/>
      <c r="O31" s="148"/>
      <c r="P31" s="155"/>
      <c r="Q31" s="156" t="str">
        <f t="shared" si="15"/>
        <v/>
      </c>
      <c r="R31" s="157" t="str">
        <f t="shared" si="16"/>
        <v/>
      </c>
      <c r="S31" s="158" t="str">
        <f t="shared" si="17"/>
        <v/>
      </c>
      <c r="T31" s="158" t="str">
        <f t="shared" si="18"/>
        <v/>
      </c>
      <c r="U31" s="147"/>
      <c r="V31" s="107" t="str">
        <f t="shared" si="5"/>
        <v/>
      </c>
      <c r="W31" s="107" t="str">
        <f t="shared" si="6"/>
        <v/>
      </c>
    </row>
    <row r="32" ht="18.0" customHeight="1">
      <c r="A32" s="93"/>
      <c r="B32" s="123" t="str">
        <f t="shared" si="7"/>
        <v/>
      </c>
      <c r="C32" s="110" t="str">
        <f t="shared" si="8"/>
        <v/>
      </c>
      <c r="D32" s="110" t="str">
        <f t="shared" si="9"/>
        <v/>
      </c>
      <c r="E32" s="124" t="str">
        <f t="shared" si="1"/>
        <v/>
      </c>
      <c r="F32" s="110" t="str">
        <f t="shared" si="2"/>
        <v/>
      </c>
      <c r="G32" s="137"/>
      <c r="H32" s="116" t="str">
        <f t="shared" si="3"/>
        <v/>
      </c>
      <c r="I32" s="126" t="str">
        <f t="shared" si="4"/>
        <v/>
      </c>
      <c r="J32" s="127" t="str">
        <f>if(B32&lt;&gt;"",J31*(1-Diretrizes!F$5),)</f>
        <v/>
      </c>
      <c r="K32" s="116"/>
      <c r="L32" s="185"/>
      <c r="M32" s="150"/>
      <c r="N32" s="118"/>
      <c r="O32" s="148"/>
      <c r="P32" s="155"/>
      <c r="Q32" s="156" t="str">
        <f t="shared" si="15"/>
        <v/>
      </c>
      <c r="R32" s="157" t="str">
        <f t="shared" si="16"/>
        <v/>
      </c>
      <c r="S32" s="158" t="str">
        <f t="shared" si="17"/>
        <v/>
      </c>
      <c r="T32" s="158" t="str">
        <f t="shared" si="18"/>
        <v/>
      </c>
      <c r="U32" s="147"/>
      <c r="V32" s="107" t="str">
        <f t="shared" si="5"/>
        <v/>
      </c>
      <c r="W32" s="107" t="str">
        <f t="shared" si="6"/>
        <v/>
      </c>
    </row>
    <row r="33" ht="18.0" customHeight="1">
      <c r="A33" s="93"/>
      <c r="B33" s="123"/>
      <c r="C33" s="110" t="str">
        <f t="shared" si="8"/>
        <v/>
      </c>
      <c r="D33" s="110" t="str">
        <f t="shared" si="9"/>
        <v/>
      </c>
      <c r="E33" s="124"/>
      <c r="F33" s="110"/>
      <c r="G33" s="137"/>
      <c r="H33" s="116"/>
      <c r="I33" s="126"/>
      <c r="J33" s="127"/>
      <c r="K33" s="116"/>
      <c r="L33" s="129"/>
      <c r="M33" s="162"/>
      <c r="N33" s="163"/>
      <c r="O33" s="148"/>
      <c r="P33" s="155"/>
      <c r="Q33" s="156" t="str">
        <f t="shared" si="15"/>
        <v/>
      </c>
      <c r="R33" s="157" t="str">
        <f t="shared" si="16"/>
        <v/>
      </c>
      <c r="S33" s="158" t="str">
        <f t="shared" si="17"/>
        <v/>
      </c>
      <c r="T33" s="158" t="str">
        <f t="shared" si="18"/>
        <v/>
      </c>
      <c r="U33" s="147"/>
      <c r="V33" s="107" t="str">
        <f t="shared" si="5"/>
        <v/>
      </c>
      <c r="W33" s="107" t="str">
        <f t="shared" si="6"/>
        <v/>
      </c>
    </row>
    <row r="34" ht="18.75" customHeight="1">
      <c r="A34" s="93"/>
      <c r="B34" s="123"/>
      <c r="C34" s="110"/>
      <c r="D34" s="110"/>
      <c r="E34" s="124"/>
      <c r="F34" s="110"/>
      <c r="G34" s="137"/>
      <c r="H34" s="116"/>
      <c r="I34" s="126"/>
      <c r="J34" s="127"/>
      <c r="K34" s="116"/>
      <c r="L34" s="129"/>
      <c r="M34" s="162"/>
      <c r="N34" s="163"/>
      <c r="O34" s="148"/>
      <c r="P34" s="155"/>
      <c r="Q34" s="156" t="str">
        <f t="shared" si="15"/>
        <v/>
      </c>
      <c r="R34" s="157" t="str">
        <f t="shared" si="16"/>
        <v/>
      </c>
      <c r="S34" s="158" t="str">
        <f t="shared" si="17"/>
        <v/>
      </c>
      <c r="T34" s="158" t="str">
        <f t="shared" si="18"/>
        <v/>
      </c>
      <c r="U34" s="147"/>
      <c r="V34" s="107" t="str">
        <f t="shared" si="5"/>
        <v/>
      </c>
      <c r="W34" s="107" t="str">
        <f t="shared" si="6"/>
        <v/>
      </c>
    </row>
    <row r="35" ht="18.75" customHeight="1">
      <c r="A35" s="93"/>
      <c r="B35" s="123"/>
      <c r="C35" s="110"/>
      <c r="D35" s="110"/>
      <c r="E35" s="124"/>
      <c r="F35" s="110"/>
      <c r="G35" s="137"/>
      <c r="H35" s="116"/>
      <c r="I35" s="126"/>
      <c r="J35" s="127"/>
      <c r="K35" s="116"/>
      <c r="L35" s="129"/>
      <c r="M35" s="162"/>
      <c r="N35" s="163"/>
      <c r="O35" s="148"/>
      <c r="P35" s="155"/>
      <c r="Q35" s="156" t="str">
        <f t="shared" si="15"/>
        <v/>
      </c>
      <c r="R35" s="157" t="str">
        <f t="shared" si="16"/>
        <v/>
      </c>
      <c r="S35" s="158" t="str">
        <f t="shared" si="17"/>
        <v/>
      </c>
      <c r="T35" s="158" t="str">
        <f t="shared" si="18"/>
        <v/>
      </c>
      <c r="U35" s="147"/>
      <c r="V35" s="107" t="str">
        <f t="shared" si="5"/>
        <v/>
      </c>
      <c r="W35" s="107" t="str">
        <f t="shared" si="6"/>
        <v/>
      </c>
    </row>
    <row r="36" ht="18.75" customHeight="1">
      <c r="A36" s="93"/>
      <c r="B36" s="123"/>
      <c r="C36" s="110"/>
      <c r="D36" s="110"/>
      <c r="E36" s="124"/>
      <c r="F36" s="110"/>
      <c r="G36" s="137"/>
      <c r="H36" s="116"/>
      <c r="I36" s="126"/>
      <c r="J36" s="127"/>
      <c r="K36" s="116"/>
      <c r="L36" s="129"/>
      <c r="M36" s="162"/>
      <c r="N36" s="163"/>
      <c r="O36" s="148"/>
      <c r="P36" s="155"/>
      <c r="Q36" s="156" t="str">
        <f t="shared" si="15"/>
        <v/>
      </c>
      <c r="R36" s="157" t="str">
        <f t="shared" si="16"/>
        <v/>
      </c>
      <c r="S36" s="158" t="str">
        <f t="shared" si="17"/>
        <v/>
      </c>
      <c r="T36" s="158" t="str">
        <f t="shared" si="18"/>
        <v/>
      </c>
      <c r="U36" s="147"/>
      <c r="V36" s="107" t="str">
        <f t="shared" si="5"/>
        <v/>
      </c>
      <c r="W36" s="107" t="str">
        <f t="shared" si="6"/>
        <v/>
      </c>
    </row>
    <row r="37" ht="18.75" customHeight="1">
      <c r="A37" s="93"/>
      <c r="B37" s="123"/>
      <c r="C37" s="110"/>
      <c r="D37" s="110"/>
      <c r="E37" s="124"/>
      <c r="F37" s="110"/>
      <c r="G37" s="137"/>
      <c r="H37" s="116"/>
      <c r="I37" s="126"/>
      <c r="J37" s="127"/>
      <c r="K37" s="116"/>
      <c r="L37" s="129"/>
      <c r="M37" s="162"/>
      <c r="N37" s="163"/>
      <c r="O37" s="148"/>
      <c r="P37" s="161"/>
      <c r="Q37" s="161" t="str">
        <f t="shared" si="15"/>
        <v/>
      </c>
      <c r="R37" s="161" t="str">
        <f t="shared" si="16"/>
        <v/>
      </c>
      <c r="S37" s="161" t="str">
        <f t="shared" si="17"/>
        <v/>
      </c>
      <c r="T37" s="161" t="str">
        <f t="shared" si="18"/>
        <v/>
      </c>
      <c r="U37" s="147"/>
      <c r="V37" s="107" t="str">
        <f t="shared" si="5"/>
        <v/>
      </c>
      <c r="W37" s="107" t="str">
        <f t="shared" si="6"/>
        <v/>
      </c>
    </row>
    <row r="38" ht="18.75" customHeight="1">
      <c r="A38" s="93"/>
      <c r="B38" s="123"/>
      <c r="C38" s="110"/>
      <c r="D38" s="110"/>
      <c r="E38" s="124"/>
      <c r="F38" s="110"/>
      <c r="G38" s="137"/>
      <c r="H38" s="116"/>
      <c r="I38" s="126"/>
      <c r="J38" s="127"/>
      <c r="K38" s="116"/>
      <c r="L38" s="129"/>
      <c r="M38" s="162"/>
      <c r="N38" s="163"/>
      <c r="O38" s="148"/>
      <c r="P38" s="149" t="s">
        <v>57</v>
      </c>
      <c r="Q38" s="147"/>
      <c r="R38" s="93"/>
      <c r="S38" s="93"/>
      <c r="T38" s="147"/>
      <c r="U38" s="147"/>
      <c r="V38" s="107" t="str">
        <f t="shared" si="5"/>
        <v/>
      </c>
      <c r="W38" s="107" t="str">
        <f t="shared" si="6"/>
        <v/>
      </c>
    </row>
    <row r="39" ht="18.75" customHeight="1">
      <c r="A39" s="93"/>
      <c r="B39" s="123"/>
      <c r="C39" s="110"/>
      <c r="D39" s="110"/>
      <c r="E39" s="124"/>
      <c r="F39" s="110"/>
      <c r="G39" s="137"/>
      <c r="H39" s="116"/>
      <c r="I39" s="126"/>
      <c r="J39" s="127"/>
      <c r="K39" s="116"/>
      <c r="L39" s="129"/>
      <c r="M39" s="162"/>
      <c r="N39" s="163"/>
      <c r="O39" s="148"/>
      <c r="P39" s="152" t="s">
        <v>58</v>
      </c>
      <c r="Q39" s="153" t="s">
        <v>26</v>
      </c>
      <c r="R39" s="153" t="s">
        <v>55</v>
      </c>
      <c r="S39" s="153" t="s">
        <v>27</v>
      </c>
      <c r="T39" s="154" t="s">
        <v>28</v>
      </c>
      <c r="U39" s="147"/>
      <c r="V39" s="107" t="str">
        <f t="shared" si="5"/>
        <v/>
      </c>
      <c r="W39" s="107" t="str">
        <f t="shared" si="6"/>
        <v/>
      </c>
    </row>
    <row r="40" ht="18.75" customHeight="1">
      <c r="A40" s="93"/>
      <c r="B40" s="123"/>
      <c r="C40" s="110"/>
      <c r="D40" s="110"/>
      <c r="E40" s="124"/>
      <c r="F40" s="110"/>
      <c r="G40" s="137"/>
      <c r="H40" s="116"/>
      <c r="I40" s="126"/>
      <c r="J40" s="127"/>
      <c r="K40" s="116"/>
      <c r="L40" s="129"/>
      <c r="M40" s="162"/>
      <c r="N40" s="163"/>
      <c r="O40" s="148"/>
      <c r="P40" s="164" t="str">
        <f t="array" ref="P40:P41">sort(UNIQUE({V3:V122;W3:W122}))</f>
        <v/>
      </c>
      <c r="Q40" s="156"/>
      <c r="R40" s="157"/>
      <c r="S40" s="158"/>
      <c r="T40" s="158"/>
      <c r="U40" s="147"/>
      <c r="V40" s="107" t="str">
        <f t="shared" si="5"/>
        <v/>
      </c>
      <c r="W40" s="107" t="str">
        <f t="shared" si="6"/>
        <v/>
      </c>
    </row>
    <row r="41" ht="18.75" customHeight="1">
      <c r="A41" s="93"/>
      <c r="B41" s="123"/>
      <c r="C41" s="110"/>
      <c r="D41" s="110"/>
      <c r="E41" s="124"/>
      <c r="F41" s="110"/>
      <c r="G41" s="137"/>
      <c r="H41" s="116"/>
      <c r="I41" s="126"/>
      <c r="J41" s="127"/>
      <c r="K41" s="116"/>
      <c r="L41" s="129"/>
      <c r="M41" s="162"/>
      <c r="N41" s="163"/>
      <c r="O41" s="148"/>
      <c r="P41" s="164"/>
      <c r="Q41" s="156" t="str">
        <f t="shared" ref="Q41:Q83" si="19">if(P41="","", sumif(V$3:V122,P41,G$3:G122)+sumif(W$3:W122,P41,G$3:G122))</f>
        <v/>
      </c>
      <c r="R41" s="157" t="str">
        <f t="shared" ref="R41:R97" si="20">if(P41="","", countif(V$3:W122,P41))</f>
        <v/>
      </c>
      <c r="S41" s="158" t="str">
        <f t="shared" ref="S41:S97" si="21">if(P41="","", iferror(averageif(V$3:V122,P41,H$3:H122),0)+iferror(averageif(W$3:W122,P41,H$3:H122),0))</f>
        <v/>
      </c>
      <c r="T41" s="158" t="str">
        <f t="shared" ref="T41:T97" si="22">if(P41="","",Q41/sum($G$3:$G122))</f>
        <v/>
      </c>
      <c r="U41" s="147"/>
      <c r="V41" s="107" t="str">
        <f t="shared" si="5"/>
        <v/>
      </c>
      <c r="W41" s="107" t="str">
        <f t="shared" si="6"/>
        <v/>
      </c>
    </row>
    <row r="42" ht="18.75" customHeight="1">
      <c r="A42" s="93"/>
      <c r="B42" s="123"/>
      <c r="C42" s="110"/>
      <c r="D42" s="110"/>
      <c r="E42" s="124"/>
      <c r="F42" s="110"/>
      <c r="G42" s="137"/>
      <c r="H42" s="116"/>
      <c r="I42" s="126"/>
      <c r="J42" s="127"/>
      <c r="K42" s="116"/>
      <c r="L42" s="129"/>
      <c r="M42" s="162"/>
      <c r="N42" s="163"/>
      <c r="O42" s="145"/>
      <c r="P42" s="155"/>
      <c r="Q42" s="156" t="str">
        <f t="shared" si="19"/>
        <v/>
      </c>
      <c r="R42" s="157" t="str">
        <f t="shared" si="20"/>
        <v/>
      </c>
      <c r="S42" s="158" t="str">
        <f t="shared" si="21"/>
        <v/>
      </c>
      <c r="T42" s="158" t="str">
        <f t="shared" si="22"/>
        <v/>
      </c>
      <c r="U42" s="93"/>
      <c r="V42" s="107" t="str">
        <f t="shared" si="5"/>
        <v/>
      </c>
      <c r="W42" s="107" t="str">
        <f t="shared" si="6"/>
        <v/>
      </c>
    </row>
    <row r="43" ht="18.75" customHeight="1">
      <c r="A43" s="93"/>
      <c r="B43" s="123"/>
      <c r="C43" s="110"/>
      <c r="D43" s="110"/>
      <c r="E43" s="124"/>
      <c r="F43" s="110"/>
      <c r="G43" s="137"/>
      <c r="H43" s="116"/>
      <c r="I43" s="126"/>
      <c r="J43" s="127"/>
      <c r="K43" s="116"/>
      <c r="L43" s="129"/>
      <c r="M43" s="162"/>
      <c r="N43" s="163"/>
      <c r="O43" s="145"/>
      <c r="P43" s="155"/>
      <c r="Q43" s="156" t="str">
        <f t="shared" si="19"/>
        <v/>
      </c>
      <c r="R43" s="157" t="str">
        <f t="shared" si="20"/>
        <v/>
      </c>
      <c r="S43" s="158" t="str">
        <f t="shared" si="21"/>
        <v/>
      </c>
      <c r="T43" s="158" t="str">
        <f t="shared" si="22"/>
        <v/>
      </c>
      <c r="U43" s="93"/>
      <c r="V43" s="107" t="str">
        <f t="shared" si="5"/>
        <v/>
      </c>
      <c r="W43" s="107" t="str">
        <f t="shared" si="6"/>
        <v/>
      </c>
    </row>
    <row r="44" ht="18.75" customHeight="1">
      <c r="A44" s="93"/>
      <c r="B44" s="123"/>
      <c r="C44" s="110"/>
      <c r="D44" s="110"/>
      <c r="E44" s="124"/>
      <c r="F44" s="110"/>
      <c r="G44" s="137"/>
      <c r="H44" s="116"/>
      <c r="I44" s="126"/>
      <c r="J44" s="127"/>
      <c r="K44" s="116"/>
      <c r="L44" s="129"/>
      <c r="M44" s="162"/>
      <c r="N44" s="163"/>
      <c r="O44" s="145"/>
      <c r="P44" s="155"/>
      <c r="Q44" s="156" t="str">
        <f t="shared" si="19"/>
        <v/>
      </c>
      <c r="R44" s="157" t="str">
        <f t="shared" si="20"/>
        <v/>
      </c>
      <c r="S44" s="158" t="str">
        <f t="shared" si="21"/>
        <v/>
      </c>
      <c r="T44" s="158" t="str">
        <f t="shared" si="22"/>
        <v/>
      </c>
      <c r="U44" s="93"/>
      <c r="V44" s="107" t="str">
        <f t="shared" si="5"/>
        <v/>
      </c>
      <c r="W44" s="107" t="str">
        <f t="shared" si="6"/>
        <v/>
      </c>
    </row>
    <row r="45" ht="18.75" customHeight="1">
      <c r="A45" s="93"/>
      <c r="B45" s="123"/>
      <c r="C45" s="110"/>
      <c r="D45" s="110"/>
      <c r="E45" s="124"/>
      <c r="F45" s="110"/>
      <c r="G45" s="137"/>
      <c r="H45" s="116"/>
      <c r="I45" s="126"/>
      <c r="J45" s="127"/>
      <c r="K45" s="116"/>
      <c r="L45" s="129"/>
      <c r="M45" s="162"/>
      <c r="N45" s="165"/>
      <c r="O45" s="93"/>
      <c r="P45" s="155"/>
      <c r="Q45" s="156" t="str">
        <f t="shared" si="19"/>
        <v/>
      </c>
      <c r="R45" s="157" t="str">
        <f t="shared" si="20"/>
        <v/>
      </c>
      <c r="S45" s="158" t="str">
        <f t="shared" si="21"/>
        <v/>
      </c>
      <c r="T45" s="158" t="str">
        <f t="shared" si="22"/>
        <v/>
      </c>
      <c r="U45" s="93"/>
      <c r="V45" s="107" t="str">
        <f t="shared" si="5"/>
        <v/>
      </c>
      <c r="W45" s="107" t="str">
        <f t="shared" si="6"/>
        <v/>
      </c>
    </row>
    <row r="46" ht="18.75" customHeight="1">
      <c r="A46" s="93"/>
      <c r="B46" s="123"/>
      <c r="C46" s="110"/>
      <c r="D46" s="110"/>
      <c r="E46" s="124"/>
      <c r="F46" s="110"/>
      <c r="G46" s="137"/>
      <c r="H46" s="116"/>
      <c r="I46" s="126"/>
      <c r="J46" s="127"/>
      <c r="K46" s="116"/>
      <c r="L46" s="129"/>
      <c r="M46" s="162"/>
      <c r="N46" s="165"/>
      <c r="O46" s="93"/>
      <c r="P46" s="155"/>
      <c r="Q46" s="156" t="str">
        <f t="shared" si="19"/>
        <v/>
      </c>
      <c r="R46" s="157" t="str">
        <f t="shared" si="20"/>
        <v/>
      </c>
      <c r="S46" s="158" t="str">
        <f t="shared" si="21"/>
        <v/>
      </c>
      <c r="T46" s="158" t="str">
        <f t="shared" si="22"/>
        <v/>
      </c>
      <c r="U46" s="93"/>
      <c r="V46" s="107" t="str">
        <f t="shared" si="5"/>
        <v/>
      </c>
      <c r="W46" s="107" t="str">
        <f t="shared" si="6"/>
        <v/>
      </c>
    </row>
    <row r="47" ht="18.75" customHeight="1">
      <c r="A47" s="93"/>
      <c r="B47" s="123"/>
      <c r="C47" s="110"/>
      <c r="D47" s="110"/>
      <c r="E47" s="124"/>
      <c r="F47" s="110"/>
      <c r="G47" s="137"/>
      <c r="H47" s="116"/>
      <c r="I47" s="126"/>
      <c r="J47" s="127"/>
      <c r="K47" s="116"/>
      <c r="L47" s="129"/>
      <c r="M47" s="162"/>
      <c r="N47" s="165"/>
      <c r="O47" s="93"/>
      <c r="P47" s="155"/>
      <c r="Q47" s="156" t="str">
        <f t="shared" si="19"/>
        <v/>
      </c>
      <c r="R47" s="157" t="str">
        <f t="shared" si="20"/>
        <v/>
      </c>
      <c r="S47" s="158" t="str">
        <f t="shared" si="21"/>
        <v/>
      </c>
      <c r="T47" s="158" t="str">
        <f t="shared" si="22"/>
        <v/>
      </c>
      <c r="U47" s="93"/>
      <c r="V47" s="107" t="str">
        <f t="shared" si="5"/>
        <v/>
      </c>
      <c r="W47" s="107" t="str">
        <f t="shared" si="6"/>
        <v/>
      </c>
    </row>
    <row r="48" ht="18.75" customHeight="1">
      <c r="A48" s="93"/>
      <c r="B48" s="123"/>
      <c r="C48" s="110"/>
      <c r="D48" s="110"/>
      <c r="E48" s="124"/>
      <c r="F48" s="110"/>
      <c r="G48" s="137"/>
      <c r="H48" s="116"/>
      <c r="I48" s="126"/>
      <c r="J48" s="127"/>
      <c r="K48" s="116"/>
      <c r="L48" s="129"/>
      <c r="M48" s="162"/>
      <c r="N48" s="165"/>
      <c r="O48" s="93"/>
      <c r="P48" s="155"/>
      <c r="Q48" s="156" t="str">
        <f t="shared" si="19"/>
        <v/>
      </c>
      <c r="R48" s="157" t="str">
        <f t="shared" si="20"/>
        <v/>
      </c>
      <c r="S48" s="158" t="str">
        <f t="shared" si="21"/>
        <v/>
      </c>
      <c r="T48" s="158" t="str">
        <f t="shared" si="22"/>
        <v/>
      </c>
      <c r="U48" s="93"/>
      <c r="V48" s="107" t="str">
        <f t="shared" si="5"/>
        <v/>
      </c>
      <c r="W48" s="107" t="str">
        <f t="shared" si="6"/>
        <v/>
      </c>
    </row>
    <row r="49" ht="18.75" customHeight="1">
      <c r="A49" s="93"/>
      <c r="B49" s="123"/>
      <c r="C49" s="110"/>
      <c r="D49" s="110"/>
      <c r="E49" s="124"/>
      <c r="F49" s="110"/>
      <c r="G49" s="137"/>
      <c r="H49" s="116"/>
      <c r="I49" s="126"/>
      <c r="J49" s="127"/>
      <c r="K49" s="116"/>
      <c r="L49" s="129"/>
      <c r="M49" s="162"/>
      <c r="N49" s="165"/>
      <c r="O49" s="93"/>
      <c r="P49" s="155"/>
      <c r="Q49" s="156" t="str">
        <f t="shared" si="19"/>
        <v/>
      </c>
      <c r="R49" s="157" t="str">
        <f t="shared" si="20"/>
        <v/>
      </c>
      <c r="S49" s="158" t="str">
        <f t="shared" si="21"/>
        <v/>
      </c>
      <c r="T49" s="158" t="str">
        <f t="shared" si="22"/>
        <v/>
      </c>
      <c r="U49" s="93"/>
      <c r="V49" s="107" t="str">
        <f t="shared" si="5"/>
        <v/>
      </c>
      <c r="W49" s="107" t="str">
        <f t="shared" si="6"/>
        <v/>
      </c>
    </row>
    <row r="50" ht="18.75" customHeight="1">
      <c r="A50" s="93"/>
      <c r="B50" s="123"/>
      <c r="C50" s="110"/>
      <c r="D50" s="110"/>
      <c r="E50" s="124"/>
      <c r="F50" s="110"/>
      <c r="G50" s="137"/>
      <c r="H50" s="116"/>
      <c r="I50" s="126"/>
      <c r="J50" s="127"/>
      <c r="K50" s="116"/>
      <c r="L50" s="129"/>
      <c r="M50" s="162"/>
      <c r="N50" s="165"/>
      <c r="O50" s="93"/>
      <c r="P50" s="155"/>
      <c r="Q50" s="156" t="str">
        <f t="shared" si="19"/>
        <v/>
      </c>
      <c r="R50" s="157" t="str">
        <f t="shared" si="20"/>
        <v/>
      </c>
      <c r="S50" s="158" t="str">
        <f t="shared" si="21"/>
        <v/>
      </c>
      <c r="T50" s="158" t="str">
        <f t="shared" si="22"/>
        <v/>
      </c>
      <c r="U50" s="93"/>
      <c r="V50" s="107" t="str">
        <f t="shared" si="5"/>
        <v/>
      </c>
      <c r="W50" s="107" t="str">
        <f t="shared" si="6"/>
        <v/>
      </c>
    </row>
    <row r="51" ht="18.75" customHeight="1">
      <c r="A51" s="93"/>
      <c r="B51" s="123"/>
      <c r="C51" s="110"/>
      <c r="D51" s="110"/>
      <c r="E51" s="124"/>
      <c r="F51" s="110"/>
      <c r="G51" s="137"/>
      <c r="H51" s="116"/>
      <c r="I51" s="126"/>
      <c r="J51" s="127"/>
      <c r="K51" s="116"/>
      <c r="L51" s="129"/>
      <c r="M51" s="162"/>
      <c r="N51" s="165"/>
      <c r="O51" s="93"/>
      <c r="P51" s="155"/>
      <c r="Q51" s="156" t="str">
        <f t="shared" si="19"/>
        <v/>
      </c>
      <c r="R51" s="157" t="str">
        <f t="shared" si="20"/>
        <v/>
      </c>
      <c r="S51" s="158" t="str">
        <f t="shared" si="21"/>
        <v/>
      </c>
      <c r="T51" s="158" t="str">
        <f t="shared" si="22"/>
        <v/>
      </c>
      <c r="U51" s="93"/>
      <c r="V51" s="107" t="str">
        <f t="shared" si="5"/>
        <v/>
      </c>
      <c r="W51" s="107" t="str">
        <f t="shared" si="6"/>
        <v/>
      </c>
    </row>
    <row r="52" ht="18.75" customHeight="1">
      <c r="A52" s="93"/>
      <c r="B52" s="123"/>
      <c r="C52" s="110"/>
      <c r="D52" s="110"/>
      <c r="E52" s="124"/>
      <c r="F52" s="110"/>
      <c r="G52" s="137"/>
      <c r="H52" s="116"/>
      <c r="I52" s="126"/>
      <c r="J52" s="127"/>
      <c r="K52" s="116"/>
      <c r="L52" s="129"/>
      <c r="M52" s="162"/>
      <c r="N52" s="165"/>
      <c r="O52" s="93"/>
      <c r="P52" s="155"/>
      <c r="Q52" s="156" t="str">
        <f t="shared" si="19"/>
        <v/>
      </c>
      <c r="R52" s="157" t="str">
        <f t="shared" si="20"/>
        <v/>
      </c>
      <c r="S52" s="158" t="str">
        <f t="shared" si="21"/>
        <v/>
      </c>
      <c r="T52" s="158" t="str">
        <f t="shared" si="22"/>
        <v/>
      </c>
      <c r="U52" s="93"/>
      <c r="V52" s="107" t="str">
        <f t="shared" si="5"/>
        <v/>
      </c>
      <c r="W52" s="107" t="str">
        <f t="shared" si="6"/>
        <v/>
      </c>
    </row>
    <row r="53" ht="18.75" customHeight="1">
      <c r="A53" s="93"/>
      <c r="B53" s="123"/>
      <c r="C53" s="110"/>
      <c r="D53" s="110"/>
      <c r="E53" s="124"/>
      <c r="F53" s="110"/>
      <c r="G53" s="137"/>
      <c r="H53" s="116"/>
      <c r="I53" s="126"/>
      <c r="J53" s="127"/>
      <c r="K53" s="116"/>
      <c r="L53" s="129"/>
      <c r="M53" s="162"/>
      <c r="N53" s="165"/>
      <c r="O53" s="93"/>
      <c r="P53" s="155"/>
      <c r="Q53" s="156" t="str">
        <f t="shared" si="19"/>
        <v/>
      </c>
      <c r="R53" s="157" t="str">
        <f t="shared" si="20"/>
        <v/>
      </c>
      <c r="S53" s="158" t="str">
        <f t="shared" si="21"/>
        <v/>
      </c>
      <c r="T53" s="158" t="str">
        <f t="shared" si="22"/>
        <v/>
      </c>
      <c r="U53" s="93"/>
      <c r="V53" s="107" t="str">
        <f t="shared" si="5"/>
        <v/>
      </c>
      <c r="W53" s="107" t="str">
        <f t="shared" si="6"/>
        <v/>
      </c>
    </row>
    <row r="54" ht="18.75" customHeight="1">
      <c r="A54" s="93"/>
      <c r="B54" s="123"/>
      <c r="C54" s="110"/>
      <c r="D54" s="110"/>
      <c r="E54" s="124"/>
      <c r="F54" s="110"/>
      <c r="G54" s="137"/>
      <c r="H54" s="116"/>
      <c r="I54" s="126"/>
      <c r="J54" s="127"/>
      <c r="K54" s="116"/>
      <c r="L54" s="129"/>
      <c r="M54" s="162"/>
      <c r="N54" s="165"/>
      <c r="O54" s="93"/>
      <c r="P54" s="155"/>
      <c r="Q54" s="156" t="str">
        <f t="shared" si="19"/>
        <v/>
      </c>
      <c r="R54" s="157" t="str">
        <f t="shared" si="20"/>
        <v/>
      </c>
      <c r="S54" s="158" t="str">
        <f t="shared" si="21"/>
        <v/>
      </c>
      <c r="T54" s="158" t="str">
        <f t="shared" si="22"/>
        <v/>
      </c>
      <c r="U54" s="93"/>
      <c r="V54" s="107" t="str">
        <f t="shared" si="5"/>
        <v/>
      </c>
      <c r="W54" s="107" t="str">
        <f t="shared" si="6"/>
        <v/>
      </c>
    </row>
    <row r="55" ht="18.75" customHeight="1">
      <c r="A55" s="93"/>
      <c r="B55" s="123"/>
      <c r="C55" s="110"/>
      <c r="D55" s="110"/>
      <c r="E55" s="124"/>
      <c r="F55" s="110"/>
      <c r="G55" s="137"/>
      <c r="H55" s="116"/>
      <c r="I55" s="126"/>
      <c r="J55" s="127"/>
      <c r="K55" s="116"/>
      <c r="L55" s="129"/>
      <c r="M55" s="162"/>
      <c r="N55" s="165"/>
      <c r="O55" s="93"/>
      <c r="P55" s="155"/>
      <c r="Q55" s="156" t="str">
        <f t="shared" si="19"/>
        <v/>
      </c>
      <c r="R55" s="157" t="str">
        <f t="shared" si="20"/>
        <v/>
      </c>
      <c r="S55" s="158" t="str">
        <f t="shared" si="21"/>
        <v/>
      </c>
      <c r="T55" s="158" t="str">
        <f t="shared" si="22"/>
        <v/>
      </c>
      <c r="U55" s="93"/>
      <c r="V55" s="107" t="str">
        <f t="shared" si="5"/>
        <v/>
      </c>
      <c r="W55" s="107" t="str">
        <f t="shared" si="6"/>
        <v/>
      </c>
    </row>
    <row r="56" ht="18.75" customHeight="1">
      <c r="A56" s="93"/>
      <c r="B56" s="93"/>
      <c r="C56" s="166"/>
      <c r="D56" s="166"/>
      <c r="E56" s="167"/>
      <c r="F56" s="166"/>
      <c r="G56" s="168"/>
      <c r="H56" s="169"/>
      <c r="I56" s="170"/>
      <c r="J56" s="171"/>
      <c r="K56" s="169"/>
      <c r="L56" s="172"/>
      <c r="M56" s="173"/>
      <c r="N56" s="174"/>
      <c r="O56" s="93"/>
      <c r="P56" s="155"/>
      <c r="Q56" s="156" t="str">
        <f t="shared" si="19"/>
        <v/>
      </c>
      <c r="R56" s="157" t="str">
        <f t="shared" si="20"/>
        <v/>
      </c>
      <c r="S56" s="158" t="str">
        <f t="shared" si="21"/>
        <v/>
      </c>
      <c r="T56" s="158" t="str">
        <f t="shared" si="22"/>
        <v/>
      </c>
      <c r="U56" s="93"/>
      <c r="V56" s="107" t="str">
        <f t="shared" si="5"/>
        <v/>
      </c>
      <c r="W56" s="107" t="str">
        <f t="shared" si="6"/>
        <v/>
      </c>
    </row>
    <row r="57" ht="18.75" customHeight="1">
      <c r="A57" s="93"/>
      <c r="B57" s="93"/>
      <c r="C57" s="166"/>
      <c r="D57" s="166"/>
      <c r="E57" s="167"/>
      <c r="F57" s="166"/>
      <c r="G57" s="168"/>
      <c r="H57" s="169"/>
      <c r="I57" s="170"/>
      <c r="J57" s="171"/>
      <c r="K57" s="169"/>
      <c r="L57" s="175"/>
      <c r="M57" s="176"/>
      <c r="N57" s="174"/>
      <c r="O57" s="93"/>
      <c r="P57" s="155"/>
      <c r="Q57" s="156" t="str">
        <f t="shared" si="19"/>
        <v/>
      </c>
      <c r="R57" s="157" t="str">
        <f t="shared" si="20"/>
        <v/>
      </c>
      <c r="S57" s="158" t="str">
        <f t="shared" si="21"/>
        <v/>
      </c>
      <c r="T57" s="158" t="str">
        <f t="shared" si="22"/>
        <v/>
      </c>
      <c r="U57" s="93"/>
      <c r="V57" s="107" t="str">
        <f t="shared" si="5"/>
        <v/>
      </c>
      <c r="W57" s="107" t="str">
        <f t="shared" si="6"/>
        <v/>
      </c>
    </row>
    <row r="58" ht="18.75" customHeight="1">
      <c r="A58" s="93"/>
      <c r="B58" s="93"/>
      <c r="C58" s="166"/>
      <c r="D58" s="166"/>
      <c r="E58" s="166"/>
      <c r="F58" s="166"/>
      <c r="G58" s="177"/>
      <c r="H58" s="178"/>
      <c r="I58" s="170"/>
      <c r="J58" s="169"/>
      <c r="K58" s="169"/>
      <c r="L58" s="179"/>
      <c r="M58" s="180"/>
      <c r="N58" s="181"/>
      <c r="O58" s="93"/>
      <c r="P58" s="155"/>
      <c r="Q58" s="156" t="str">
        <f t="shared" si="19"/>
        <v/>
      </c>
      <c r="R58" s="157" t="str">
        <f t="shared" si="20"/>
        <v/>
      </c>
      <c r="S58" s="158" t="str">
        <f t="shared" si="21"/>
        <v/>
      </c>
      <c r="T58" s="158" t="str">
        <f t="shared" si="22"/>
        <v/>
      </c>
      <c r="U58" s="93"/>
      <c r="V58" s="107" t="str">
        <f t="shared" si="5"/>
        <v/>
      </c>
      <c r="W58" s="107" t="str">
        <f t="shared" si="6"/>
        <v/>
      </c>
    </row>
    <row r="59" ht="18.75" customHeight="1">
      <c r="A59" s="93"/>
      <c r="B59" s="93"/>
      <c r="C59" s="166"/>
      <c r="D59" s="166"/>
      <c r="E59" s="166"/>
      <c r="F59" s="166"/>
      <c r="G59" s="177"/>
      <c r="H59" s="182"/>
      <c r="I59" s="170"/>
      <c r="J59" s="169"/>
      <c r="K59" s="169"/>
      <c r="L59" s="183"/>
      <c r="M59" s="180"/>
      <c r="N59" s="181"/>
      <c r="O59" s="93"/>
      <c r="P59" s="93"/>
      <c r="Q59" s="93" t="str">
        <f t="shared" si="19"/>
        <v/>
      </c>
      <c r="R59" s="93" t="str">
        <f t="shared" si="20"/>
        <v/>
      </c>
      <c r="S59" s="93" t="str">
        <f t="shared" si="21"/>
        <v/>
      </c>
      <c r="T59" s="93" t="str">
        <f t="shared" si="22"/>
        <v/>
      </c>
      <c r="U59" s="93"/>
      <c r="V59" s="107" t="str">
        <f t="shared" si="5"/>
        <v/>
      </c>
      <c r="W59" s="107" t="str">
        <f t="shared" si="6"/>
        <v/>
      </c>
    </row>
    <row r="60" ht="18.75" customHeight="1">
      <c r="A60" s="93"/>
      <c r="B60" s="93"/>
      <c r="C60" s="166"/>
      <c r="D60" s="166"/>
      <c r="E60" s="166"/>
      <c r="F60" s="166"/>
      <c r="G60" s="177"/>
      <c r="H60" s="182"/>
      <c r="I60" s="170"/>
      <c r="J60" s="169"/>
      <c r="K60" s="169"/>
      <c r="L60" s="183"/>
      <c r="M60" s="180"/>
      <c r="N60" s="181"/>
      <c r="O60" s="93"/>
      <c r="P60" s="93"/>
      <c r="Q60" s="93" t="str">
        <f t="shared" si="19"/>
        <v/>
      </c>
      <c r="R60" s="93" t="str">
        <f t="shared" si="20"/>
        <v/>
      </c>
      <c r="S60" s="93" t="str">
        <f t="shared" si="21"/>
        <v/>
      </c>
      <c r="T60" s="93" t="str">
        <f t="shared" si="22"/>
        <v/>
      </c>
      <c r="U60" s="93"/>
      <c r="V60" s="107" t="str">
        <f t="shared" si="5"/>
        <v/>
      </c>
      <c r="W60" s="107" t="str">
        <f t="shared" si="6"/>
        <v/>
      </c>
    </row>
    <row r="61" ht="18.75" customHeight="1">
      <c r="A61" s="93"/>
      <c r="B61" s="93"/>
      <c r="C61" s="166"/>
      <c r="D61" s="166"/>
      <c r="E61" s="166"/>
      <c r="F61" s="166"/>
      <c r="G61" s="177"/>
      <c r="H61" s="182"/>
      <c r="I61" s="170"/>
      <c r="J61" s="169"/>
      <c r="K61" s="169"/>
      <c r="L61" s="183"/>
      <c r="M61" s="180"/>
      <c r="N61" s="181"/>
      <c r="O61" s="93"/>
      <c r="P61" s="93"/>
      <c r="Q61" s="93" t="str">
        <f t="shared" si="19"/>
        <v/>
      </c>
      <c r="R61" s="93" t="str">
        <f t="shared" si="20"/>
        <v/>
      </c>
      <c r="S61" s="93" t="str">
        <f t="shared" si="21"/>
        <v/>
      </c>
      <c r="T61" s="93" t="str">
        <f t="shared" si="22"/>
        <v/>
      </c>
      <c r="U61" s="93"/>
      <c r="V61" s="107" t="str">
        <f t="shared" si="5"/>
        <v/>
      </c>
      <c r="W61" s="107" t="str">
        <f t="shared" si="6"/>
        <v/>
      </c>
    </row>
    <row r="62" ht="18.75" customHeight="1">
      <c r="A62" s="93"/>
      <c r="B62" s="93"/>
      <c r="C62" s="166"/>
      <c r="D62" s="166"/>
      <c r="E62" s="166"/>
      <c r="F62" s="166"/>
      <c r="G62" s="177"/>
      <c r="H62" s="182"/>
      <c r="I62" s="170"/>
      <c r="J62" s="169"/>
      <c r="K62" s="169"/>
      <c r="L62" s="183"/>
      <c r="M62" s="180"/>
      <c r="N62" s="181"/>
      <c r="O62" s="93"/>
      <c r="P62" s="93"/>
      <c r="Q62" s="93" t="str">
        <f t="shared" si="19"/>
        <v/>
      </c>
      <c r="R62" s="93" t="str">
        <f t="shared" si="20"/>
        <v/>
      </c>
      <c r="S62" s="93" t="str">
        <f t="shared" si="21"/>
        <v/>
      </c>
      <c r="T62" s="93" t="str">
        <f t="shared" si="22"/>
        <v/>
      </c>
      <c r="U62" s="93"/>
      <c r="V62" s="107" t="str">
        <f t="shared" si="5"/>
        <v/>
      </c>
      <c r="W62" s="107" t="str">
        <f t="shared" si="6"/>
        <v/>
      </c>
    </row>
    <row r="63" ht="18.75" customHeight="1">
      <c r="A63" s="93"/>
      <c r="B63" s="93"/>
      <c r="C63" s="166"/>
      <c r="D63" s="166"/>
      <c r="E63" s="166"/>
      <c r="F63" s="166"/>
      <c r="G63" s="177"/>
      <c r="H63" s="182"/>
      <c r="I63" s="170"/>
      <c r="J63" s="169"/>
      <c r="K63" s="169"/>
      <c r="L63" s="183"/>
      <c r="M63" s="180"/>
      <c r="N63" s="181"/>
      <c r="O63" s="93"/>
      <c r="P63" s="93"/>
      <c r="Q63" s="93" t="str">
        <f t="shared" si="19"/>
        <v/>
      </c>
      <c r="R63" s="93" t="str">
        <f t="shared" si="20"/>
        <v/>
      </c>
      <c r="S63" s="93" t="str">
        <f t="shared" si="21"/>
        <v/>
      </c>
      <c r="T63" s="93" t="str">
        <f t="shared" si="22"/>
        <v/>
      </c>
      <c r="U63" s="93"/>
      <c r="V63" s="107" t="str">
        <f t="shared" si="5"/>
        <v/>
      </c>
      <c r="W63" s="107" t="str">
        <f t="shared" si="6"/>
        <v/>
      </c>
    </row>
    <row r="64" ht="18.75" customHeight="1">
      <c r="A64" s="93"/>
      <c r="B64" s="93"/>
      <c r="C64" s="166"/>
      <c r="D64" s="166"/>
      <c r="E64" s="166"/>
      <c r="F64" s="166"/>
      <c r="G64" s="177"/>
      <c r="H64" s="182"/>
      <c r="I64" s="170"/>
      <c r="J64" s="169"/>
      <c r="K64" s="169"/>
      <c r="L64" s="183"/>
      <c r="M64" s="180"/>
      <c r="N64" s="181"/>
      <c r="O64" s="93"/>
      <c r="P64" s="93"/>
      <c r="Q64" s="93" t="str">
        <f t="shared" si="19"/>
        <v/>
      </c>
      <c r="R64" s="93" t="str">
        <f t="shared" si="20"/>
        <v/>
      </c>
      <c r="S64" s="93" t="str">
        <f t="shared" si="21"/>
        <v/>
      </c>
      <c r="T64" s="93" t="str">
        <f t="shared" si="22"/>
        <v/>
      </c>
      <c r="U64" s="93"/>
      <c r="V64" s="107" t="str">
        <f t="shared" si="5"/>
        <v/>
      </c>
      <c r="W64" s="107" t="str">
        <f t="shared" si="6"/>
        <v/>
      </c>
    </row>
    <row r="65" ht="18.75" customHeight="1">
      <c r="A65" s="93"/>
      <c r="B65" s="93"/>
      <c r="C65" s="166"/>
      <c r="D65" s="166"/>
      <c r="E65" s="166"/>
      <c r="F65" s="166"/>
      <c r="G65" s="177"/>
      <c r="H65" s="182"/>
      <c r="I65" s="170"/>
      <c r="J65" s="169"/>
      <c r="K65" s="169"/>
      <c r="L65" s="183"/>
      <c r="M65" s="180"/>
      <c r="N65" s="181"/>
      <c r="O65" s="93"/>
      <c r="P65" s="93"/>
      <c r="Q65" s="93" t="str">
        <f t="shared" si="19"/>
        <v/>
      </c>
      <c r="R65" s="93" t="str">
        <f t="shared" si="20"/>
        <v/>
      </c>
      <c r="S65" s="93" t="str">
        <f t="shared" si="21"/>
        <v/>
      </c>
      <c r="T65" s="93" t="str">
        <f t="shared" si="22"/>
        <v/>
      </c>
      <c r="U65" s="93"/>
      <c r="V65" s="107" t="str">
        <f t="shared" si="5"/>
        <v/>
      </c>
      <c r="W65" s="107" t="str">
        <f t="shared" si="6"/>
        <v/>
      </c>
    </row>
    <row r="66" ht="18.75" customHeight="1">
      <c r="A66" s="93"/>
      <c r="B66" s="93"/>
      <c r="C66" s="166"/>
      <c r="D66" s="166"/>
      <c r="E66" s="166"/>
      <c r="F66" s="166"/>
      <c r="G66" s="177"/>
      <c r="H66" s="182"/>
      <c r="I66" s="170"/>
      <c r="J66" s="169"/>
      <c r="K66" s="169"/>
      <c r="L66" s="183"/>
      <c r="M66" s="180"/>
      <c r="N66" s="181"/>
      <c r="O66" s="93"/>
      <c r="P66" s="93"/>
      <c r="Q66" s="93" t="str">
        <f t="shared" si="19"/>
        <v/>
      </c>
      <c r="R66" s="93" t="str">
        <f t="shared" si="20"/>
        <v/>
      </c>
      <c r="S66" s="93" t="str">
        <f t="shared" si="21"/>
        <v/>
      </c>
      <c r="T66" s="93" t="str">
        <f t="shared" si="22"/>
        <v/>
      </c>
      <c r="U66" s="93"/>
      <c r="V66" s="107" t="str">
        <f t="shared" si="5"/>
        <v/>
      </c>
      <c r="W66" s="107" t="str">
        <f t="shared" si="6"/>
        <v/>
      </c>
    </row>
    <row r="67" ht="18.75" customHeight="1">
      <c r="A67" s="93"/>
      <c r="B67" s="93"/>
      <c r="C67" s="166"/>
      <c r="D67" s="166"/>
      <c r="E67" s="166"/>
      <c r="F67" s="166"/>
      <c r="G67" s="177"/>
      <c r="H67" s="182"/>
      <c r="I67" s="170"/>
      <c r="J67" s="169"/>
      <c r="K67" s="169"/>
      <c r="L67" s="183"/>
      <c r="M67" s="180"/>
      <c r="N67" s="181"/>
      <c r="O67" s="93"/>
      <c r="P67" s="93"/>
      <c r="Q67" s="93" t="str">
        <f t="shared" si="19"/>
        <v/>
      </c>
      <c r="R67" s="93" t="str">
        <f t="shared" si="20"/>
        <v/>
      </c>
      <c r="S67" s="93" t="str">
        <f t="shared" si="21"/>
        <v/>
      </c>
      <c r="T67" s="93" t="str">
        <f t="shared" si="22"/>
        <v/>
      </c>
      <c r="U67" s="93"/>
      <c r="V67" s="107" t="str">
        <f t="shared" si="5"/>
        <v/>
      </c>
      <c r="W67" s="107" t="str">
        <f t="shared" si="6"/>
        <v/>
      </c>
    </row>
    <row r="68" ht="18.75" customHeight="1">
      <c r="A68" s="93"/>
      <c r="B68" s="93"/>
      <c r="C68" s="166"/>
      <c r="D68" s="166"/>
      <c r="E68" s="166"/>
      <c r="F68" s="166"/>
      <c r="G68" s="177"/>
      <c r="H68" s="182"/>
      <c r="I68" s="170"/>
      <c r="J68" s="169"/>
      <c r="K68" s="169"/>
      <c r="L68" s="183"/>
      <c r="M68" s="180"/>
      <c r="N68" s="181"/>
      <c r="O68" s="93"/>
      <c r="P68" s="93"/>
      <c r="Q68" s="93" t="str">
        <f t="shared" si="19"/>
        <v/>
      </c>
      <c r="R68" s="93" t="str">
        <f t="shared" si="20"/>
        <v/>
      </c>
      <c r="S68" s="93" t="str">
        <f t="shared" si="21"/>
        <v/>
      </c>
      <c r="T68" s="93" t="str">
        <f t="shared" si="22"/>
        <v/>
      </c>
      <c r="U68" s="93"/>
      <c r="V68" s="107" t="str">
        <f t="shared" si="5"/>
        <v/>
      </c>
      <c r="W68" s="107" t="str">
        <f t="shared" si="6"/>
        <v/>
      </c>
    </row>
    <row r="69" ht="18.75" customHeight="1">
      <c r="A69" s="93"/>
      <c r="B69" s="93"/>
      <c r="C69" s="166"/>
      <c r="D69" s="166"/>
      <c r="E69" s="166"/>
      <c r="F69" s="166"/>
      <c r="G69" s="177"/>
      <c r="H69" s="182"/>
      <c r="I69" s="170"/>
      <c r="J69" s="169"/>
      <c r="K69" s="169"/>
      <c r="L69" s="183"/>
      <c r="M69" s="180"/>
      <c r="N69" s="181"/>
      <c r="O69" s="93"/>
      <c r="P69" s="93"/>
      <c r="Q69" s="93" t="str">
        <f t="shared" si="19"/>
        <v/>
      </c>
      <c r="R69" s="93" t="str">
        <f t="shared" si="20"/>
        <v/>
      </c>
      <c r="S69" s="93" t="str">
        <f t="shared" si="21"/>
        <v/>
      </c>
      <c r="T69" s="93" t="str">
        <f t="shared" si="22"/>
        <v/>
      </c>
      <c r="U69" s="93"/>
      <c r="V69" s="107" t="str">
        <f t="shared" si="5"/>
        <v/>
      </c>
      <c r="W69" s="107" t="str">
        <f t="shared" si="6"/>
        <v/>
      </c>
    </row>
    <row r="70" ht="18.75" customHeight="1">
      <c r="A70" s="93"/>
      <c r="B70" s="93"/>
      <c r="C70" s="166"/>
      <c r="D70" s="166"/>
      <c r="E70" s="166"/>
      <c r="F70" s="166"/>
      <c r="G70" s="177"/>
      <c r="H70" s="182"/>
      <c r="I70" s="170"/>
      <c r="J70" s="169"/>
      <c r="K70" s="169"/>
      <c r="L70" s="183"/>
      <c r="M70" s="180"/>
      <c r="N70" s="181"/>
      <c r="O70" s="93"/>
      <c r="P70" s="93"/>
      <c r="Q70" s="93" t="str">
        <f t="shared" si="19"/>
        <v/>
      </c>
      <c r="R70" s="93" t="str">
        <f t="shared" si="20"/>
        <v/>
      </c>
      <c r="S70" s="93" t="str">
        <f t="shared" si="21"/>
        <v/>
      </c>
      <c r="T70" s="93" t="str">
        <f t="shared" si="22"/>
        <v/>
      </c>
      <c r="U70" s="93"/>
      <c r="V70" s="107" t="str">
        <f t="shared" si="5"/>
        <v/>
      </c>
      <c r="W70" s="107" t="str">
        <f t="shared" si="6"/>
        <v/>
      </c>
    </row>
    <row r="71" ht="18.75" customHeight="1">
      <c r="A71" s="93"/>
      <c r="B71" s="93"/>
      <c r="C71" s="166"/>
      <c r="D71" s="166"/>
      <c r="E71" s="166"/>
      <c r="F71" s="166"/>
      <c r="G71" s="177"/>
      <c r="H71" s="182"/>
      <c r="I71" s="170"/>
      <c r="J71" s="169"/>
      <c r="K71" s="169"/>
      <c r="L71" s="183"/>
      <c r="M71" s="180"/>
      <c r="N71" s="181"/>
      <c r="O71" s="93"/>
      <c r="P71" s="93"/>
      <c r="Q71" s="93" t="str">
        <f t="shared" si="19"/>
        <v/>
      </c>
      <c r="R71" s="93" t="str">
        <f t="shared" si="20"/>
        <v/>
      </c>
      <c r="S71" s="93" t="str">
        <f t="shared" si="21"/>
        <v/>
      </c>
      <c r="T71" s="93" t="str">
        <f t="shared" si="22"/>
        <v/>
      </c>
      <c r="U71" s="93"/>
      <c r="V71" s="107" t="str">
        <f t="shared" si="5"/>
        <v/>
      </c>
      <c r="W71" s="107" t="str">
        <f t="shared" si="6"/>
        <v/>
      </c>
    </row>
    <row r="72" ht="18.75" customHeight="1">
      <c r="A72" s="93"/>
      <c r="B72" s="93"/>
      <c r="C72" s="166"/>
      <c r="D72" s="166"/>
      <c r="E72" s="166"/>
      <c r="F72" s="166"/>
      <c r="G72" s="177"/>
      <c r="H72" s="182"/>
      <c r="I72" s="170"/>
      <c r="J72" s="169"/>
      <c r="K72" s="169"/>
      <c r="L72" s="183"/>
      <c r="M72" s="180"/>
      <c r="N72" s="181"/>
      <c r="O72" s="93"/>
      <c r="P72" s="93"/>
      <c r="Q72" s="93" t="str">
        <f t="shared" si="19"/>
        <v/>
      </c>
      <c r="R72" s="93" t="str">
        <f t="shared" si="20"/>
        <v/>
      </c>
      <c r="S72" s="93" t="str">
        <f t="shared" si="21"/>
        <v/>
      </c>
      <c r="T72" s="93" t="str">
        <f t="shared" si="22"/>
        <v/>
      </c>
      <c r="U72" s="93"/>
      <c r="V72" s="107" t="str">
        <f t="shared" si="5"/>
        <v/>
      </c>
      <c r="W72" s="107" t="str">
        <f t="shared" si="6"/>
        <v/>
      </c>
    </row>
    <row r="73" ht="18.75" customHeight="1">
      <c r="A73" s="93"/>
      <c r="B73" s="93"/>
      <c r="C73" s="166"/>
      <c r="D73" s="166"/>
      <c r="E73" s="166"/>
      <c r="F73" s="166"/>
      <c r="G73" s="177"/>
      <c r="H73" s="182"/>
      <c r="I73" s="170"/>
      <c r="J73" s="169"/>
      <c r="K73" s="169"/>
      <c r="L73" s="183"/>
      <c r="M73" s="180"/>
      <c r="N73" s="181"/>
      <c r="O73" s="93"/>
      <c r="P73" s="93"/>
      <c r="Q73" s="93" t="str">
        <f t="shared" si="19"/>
        <v/>
      </c>
      <c r="R73" s="93" t="str">
        <f t="shared" si="20"/>
        <v/>
      </c>
      <c r="S73" s="93" t="str">
        <f t="shared" si="21"/>
        <v/>
      </c>
      <c r="T73" s="93" t="str">
        <f t="shared" si="22"/>
        <v/>
      </c>
      <c r="U73" s="93"/>
      <c r="V73" s="107" t="str">
        <f t="shared" si="5"/>
        <v/>
      </c>
      <c r="W73" s="107" t="str">
        <f t="shared" si="6"/>
        <v/>
      </c>
    </row>
    <row r="74" ht="18.75" customHeight="1">
      <c r="A74" s="93"/>
      <c r="B74" s="93"/>
      <c r="C74" s="166"/>
      <c r="D74" s="166"/>
      <c r="E74" s="166"/>
      <c r="F74" s="166"/>
      <c r="G74" s="177"/>
      <c r="H74" s="182"/>
      <c r="I74" s="170"/>
      <c r="J74" s="169"/>
      <c r="K74" s="169"/>
      <c r="L74" s="183"/>
      <c r="M74" s="180"/>
      <c r="N74" s="181"/>
      <c r="O74" s="93"/>
      <c r="P74" s="93"/>
      <c r="Q74" s="93" t="str">
        <f t="shared" si="19"/>
        <v/>
      </c>
      <c r="R74" s="93" t="str">
        <f t="shared" si="20"/>
        <v/>
      </c>
      <c r="S74" s="93" t="str">
        <f t="shared" si="21"/>
        <v/>
      </c>
      <c r="T74" s="93" t="str">
        <f t="shared" si="22"/>
        <v/>
      </c>
      <c r="U74" s="93"/>
      <c r="V74" s="107" t="str">
        <f t="shared" si="5"/>
        <v/>
      </c>
      <c r="W74" s="107" t="str">
        <f t="shared" si="6"/>
        <v/>
      </c>
    </row>
    <row r="75" ht="18.75" customHeight="1">
      <c r="A75" s="93"/>
      <c r="B75" s="93"/>
      <c r="C75" s="166"/>
      <c r="D75" s="166"/>
      <c r="E75" s="166"/>
      <c r="F75" s="166"/>
      <c r="G75" s="177"/>
      <c r="H75" s="182"/>
      <c r="I75" s="170"/>
      <c r="J75" s="169"/>
      <c r="K75" s="169"/>
      <c r="L75" s="183"/>
      <c r="M75" s="180"/>
      <c r="N75" s="181"/>
      <c r="O75" s="93"/>
      <c r="P75" s="93"/>
      <c r="Q75" s="93" t="str">
        <f t="shared" si="19"/>
        <v/>
      </c>
      <c r="R75" s="93" t="str">
        <f t="shared" si="20"/>
        <v/>
      </c>
      <c r="S75" s="93" t="str">
        <f t="shared" si="21"/>
        <v/>
      </c>
      <c r="T75" s="93" t="str">
        <f t="shared" si="22"/>
        <v/>
      </c>
      <c r="U75" s="93"/>
      <c r="V75" s="107" t="str">
        <f t="shared" si="5"/>
        <v/>
      </c>
      <c r="W75" s="107" t="str">
        <f t="shared" si="6"/>
        <v/>
      </c>
    </row>
    <row r="76" ht="18.75" customHeight="1">
      <c r="A76" s="93"/>
      <c r="B76" s="93"/>
      <c r="C76" s="166"/>
      <c r="D76" s="166"/>
      <c r="E76" s="166"/>
      <c r="F76" s="166"/>
      <c r="G76" s="177"/>
      <c r="H76" s="182"/>
      <c r="I76" s="170"/>
      <c r="J76" s="169"/>
      <c r="K76" s="169"/>
      <c r="L76" s="183"/>
      <c r="M76" s="180"/>
      <c r="N76" s="181"/>
      <c r="O76" s="93"/>
      <c r="P76" s="93"/>
      <c r="Q76" s="93" t="str">
        <f t="shared" si="19"/>
        <v/>
      </c>
      <c r="R76" s="93" t="str">
        <f t="shared" si="20"/>
        <v/>
      </c>
      <c r="S76" s="93" t="str">
        <f t="shared" si="21"/>
        <v/>
      </c>
      <c r="T76" s="93" t="str">
        <f t="shared" si="22"/>
        <v/>
      </c>
      <c r="U76" s="93"/>
      <c r="V76" s="107" t="str">
        <f t="shared" si="5"/>
        <v/>
      </c>
      <c r="W76" s="107" t="str">
        <f t="shared" si="6"/>
        <v/>
      </c>
    </row>
    <row r="77" ht="18.75" customHeight="1">
      <c r="A77" s="93"/>
      <c r="B77" s="93"/>
      <c r="C77" s="166"/>
      <c r="D77" s="166"/>
      <c r="E77" s="166"/>
      <c r="F77" s="166"/>
      <c r="G77" s="177"/>
      <c r="H77" s="182"/>
      <c r="I77" s="170"/>
      <c r="J77" s="169"/>
      <c r="K77" s="169"/>
      <c r="L77" s="183"/>
      <c r="M77" s="180"/>
      <c r="N77" s="181"/>
      <c r="O77" s="93"/>
      <c r="P77" s="93"/>
      <c r="Q77" s="93" t="str">
        <f t="shared" si="19"/>
        <v/>
      </c>
      <c r="R77" s="93" t="str">
        <f t="shared" si="20"/>
        <v/>
      </c>
      <c r="S77" s="93" t="str">
        <f t="shared" si="21"/>
        <v/>
      </c>
      <c r="T77" s="93" t="str">
        <f t="shared" si="22"/>
        <v/>
      </c>
      <c r="U77" s="93"/>
      <c r="V77" s="107" t="str">
        <f t="shared" si="5"/>
        <v/>
      </c>
      <c r="W77" s="107" t="str">
        <f t="shared" si="6"/>
        <v/>
      </c>
    </row>
    <row r="78" ht="18.75" customHeight="1">
      <c r="A78" s="93"/>
      <c r="B78" s="93"/>
      <c r="C78" s="166"/>
      <c r="D78" s="166"/>
      <c r="E78" s="166"/>
      <c r="F78" s="166"/>
      <c r="G78" s="177"/>
      <c r="H78" s="182"/>
      <c r="I78" s="170"/>
      <c r="J78" s="169"/>
      <c r="K78" s="169"/>
      <c r="L78" s="183"/>
      <c r="M78" s="180"/>
      <c r="N78" s="181"/>
      <c r="O78" s="93"/>
      <c r="P78" s="93"/>
      <c r="Q78" s="93" t="str">
        <f t="shared" si="19"/>
        <v/>
      </c>
      <c r="R78" s="93" t="str">
        <f t="shared" si="20"/>
        <v/>
      </c>
      <c r="S78" s="93" t="str">
        <f t="shared" si="21"/>
        <v/>
      </c>
      <c r="T78" s="93" t="str">
        <f t="shared" si="22"/>
        <v/>
      </c>
      <c r="U78" s="93"/>
      <c r="V78" s="107" t="str">
        <f t="shared" si="5"/>
        <v/>
      </c>
      <c r="W78" s="107" t="str">
        <f t="shared" si="6"/>
        <v/>
      </c>
    </row>
    <row r="79" ht="18.75" customHeight="1">
      <c r="A79" s="93"/>
      <c r="B79" s="93"/>
      <c r="C79" s="166"/>
      <c r="D79" s="166"/>
      <c r="E79" s="166"/>
      <c r="F79" s="166"/>
      <c r="G79" s="177"/>
      <c r="H79" s="182"/>
      <c r="I79" s="170"/>
      <c r="J79" s="169"/>
      <c r="K79" s="169"/>
      <c r="L79" s="183"/>
      <c r="M79" s="180"/>
      <c r="N79" s="181"/>
      <c r="O79" s="93"/>
      <c r="P79" s="93"/>
      <c r="Q79" s="93" t="str">
        <f t="shared" si="19"/>
        <v/>
      </c>
      <c r="R79" s="93" t="str">
        <f t="shared" si="20"/>
        <v/>
      </c>
      <c r="S79" s="93" t="str">
        <f t="shared" si="21"/>
        <v/>
      </c>
      <c r="T79" s="93" t="str">
        <f t="shared" si="22"/>
        <v/>
      </c>
      <c r="U79" s="93"/>
      <c r="V79" s="107" t="str">
        <f t="shared" si="5"/>
        <v/>
      </c>
      <c r="W79" s="107"/>
    </row>
    <row r="80" ht="18.75" customHeight="1">
      <c r="A80" s="93"/>
      <c r="B80" s="93"/>
      <c r="C80" s="166"/>
      <c r="D80" s="166"/>
      <c r="E80" s="166"/>
      <c r="F80" s="166"/>
      <c r="G80" s="177"/>
      <c r="H80" s="182"/>
      <c r="I80" s="170"/>
      <c r="J80" s="169"/>
      <c r="K80" s="169"/>
      <c r="L80" s="183"/>
      <c r="M80" s="180"/>
      <c r="N80" s="181"/>
      <c r="O80" s="93"/>
      <c r="P80" s="93"/>
      <c r="Q80" s="93" t="str">
        <f t="shared" si="19"/>
        <v/>
      </c>
      <c r="R80" s="93" t="str">
        <f t="shared" si="20"/>
        <v/>
      </c>
      <c r="S80" s="93" t="str">
        <f t="shared" si="21"/>
        <v/>
      </c>
      <c r="T80" s="93" t="str">
        <f t="shared" si="22"/>
        <v/>
      </c>
      <c r="U80" s="93"/>
      <c r="V80" s="107" t="str">
        <f t="shared" si="5"/>
        <v/>
      </c>
      <c r="W80" s="107"/>
    </row>
    <row r="81" ht="18.75" customHeight="1">
      <c r="A81" s="93"/>
      <c r="B81" s="93"/>
      <c r="C81" s="166"/>
      <c r="D81" s="166"/>
      <c r="E81" s="166"/>
      <c r="F81" s="166"/>
      <c r="G81" s="177"/>
      <c r="H81" s="182"/>
      <c r="I81" s="170"/>
      <c r="J81" s="169"/>
      <c r="K81" s="169"/>
      <c r="L81" s="183"/>
      <c r="M81" s="180"/>
      <c r="N81" s="181"/>
      <c r="O81" s="93"/>
      <c r="P81" s="93"/>
      <c r="Q81" s="93" t="str">
        <f t="shared" si="19"/>
        <v/>
      </c>
      <c r="R81" s="93" t="str">
        <f t="shared" si="20"/>
        <v/>
      </c>
      <c r="S81" s="93" t="str">
        <f t="shared" si="21"/>
        <v/>
      </c>
      <c r="T81" s="93" t="str">
        <f t="shared" si="22"/>
        <v/>
      </c>
      <c r="U81" s="93"/>
      <c r="V81" s="107" t="str">
        <f t="shared" si="5"/>
        <v/>
      </c>
      <c r="W81" s="107"/>
    </row>
    <row r="82" ht="18.75" customHeight="1">
      <c r="A82" s="93"/>
      <c r="B82" s="93"/>
      <c r="C82" s="166"/>
      <c r="D82" s="166"/>
      <c r="E82" s="166"/>
      <c r="F82" s="166"/>
      <c r="G82" s="177"/>
      <c r="H82" s="182"/>
      <c r="I82" s="170"/>
      <c r="J82" s="169"/>
      <c r="K82" s="169"/>
      <c r="L82" s="183"/>
      <c r="M82" s="180"/>
      <c r="N82" s="181"/>
      <c r="O82" s="93"/>
      <c r="P82" s="93"/>
      <c r="Q82" s="93" t="str">
        <f t="shared" si="19"/>
        <v/>
      </c>
      <c r="R82" s="93" t="str">
        <f t="shared" si="20"/>
        <v/>
      </c>
      <c r="S82" s="93" t="str">
        <f t="shared" si="21"/>
        <v/>
      </c>
      <c r="T82" s="93" t="str">
        <f t="shared" si="22"/>
        <v/>
      </c>
      <c r="U82" s="93"/>
      <c r="V82" s="107" t="str">
        <f t="shared" si="5"/>
        <v/>
      </c>
      <c r="W82" s="107"/>
    </row>
    <row r="83" ht="18.75" customHeight="1">
      <c r="A83" s="93"/>
      <c r="B83" s="93"/>
      <c r="C83" s="166"/>
      <c r="D83" s="166"/>
      <c r="E83" s="166"/>
      <c r="F83" s="166"/>
      <c r="G83" s="177"/>
      <c r="H83" s="182"/>
      <c r="I83" s="170"/>
      <c r="J83" s="169"/>
      <c r="K83" s="169"/>
      <c r="L83" s="183"/>
      <c r="M83" s="180"/>
      <c r="N83" s="181"/>
      <c r="O83" s="93"/>
      <c r="P83" s="93"/>
      <c r="Q83" s="93" t="str">
        <f t="shared" si="19"/>
        <v/>
      </c>
      <c r="R83" s="93" t="str">
        <f t="shared" si="20"/>
        <v/>
      </c>
      <c r="S83" s="93" t="str">
        <f t="shared" si="21"/>
        <v/>
      </c>
      <c r="T83" s="93" t="str">
        <f t="shared" si="22"/>
        <v/>
      </c>
      <c r="U83" s="93"/>
      <c r="V83" s="107" t="str">
        <f t="shared" si="5"/>
        <v/>
      </c>
      <c r="W83" s="107"/>
    </row>
    <row r="84" ht="18.75" customHeight="1">
      <c r="A84" s="93"/>
      <c r="B84" s="93"/>
      <c r="C84" s="166"/>
      <c r="D84" s="166"/>
      <c r="E84" s="166"/>
      <c r="F84" s="166"/>
      <c r="G84" s="177"/>
      <c r="H84" s="182"/>
      <c r="I84" s="170"/>
      <c r="J84" s="169"/>
      <c r="K84" s="169"/>
      <c r="L84" s="183"/>
      <c r="M84" s="180"/>
      <c r="N84" s="181"/>
      <c r="O84" s="93"/>
      <c r="P84" s="93"/>
      <c r="Q84" s="93" t="str">
        <f t="shared" ref="Q84:Q97" si="23">if(P84="","", sumif(V$3:W122,P84,G$3:G122))</f>
        <v/>
      </c>
      <c r="R84" s="93" t="str">
        <f t="shared" si="20"/>
        <v/>
      </c>
      <c r="S84" s="93" t="str">
        <f t="shared" si="21"/>
        <v/>
      </c>
      <c r="T84" s="93" t="str">
        <f t="shared" si="22"/>
        <v/>
      </c>
      <c r="U84" s="93"/>
      <c r="V84" s="107" t="str">
        <f t="shared" si="5"/>
        <v/>
      </c>
      <c r="W84" s="107"/>
    </row>
    <row r="85" ht="18.75" customHeight="1">
      <c r="A85" s="93"/>
      <c r="B85" s="93"/>
      <c r="C85" s="166"/>
      <c r="D85" s="166"/>
      <c r="E85" s="166"/>
      <c r="F85" s="166"/>
      <c r="G85" s="177"/>
      <c r="H85" s="182"/>
      <c r="I85" s="170"/>
      <c r="J85" s="169"/>
      <c r="K85" s="169"/>
      <c r="L85" s="183"/>
      <c r="M85" s="180"/>
      <c r="N85" s="181"/>
      <c r="O85" s="93"/>
      <c r="P85" s="93"/>
      <c r="Q85" s="93" t="str">
        <f t="shared" si="23"/>
        <v/>
      </c>
      <c r="R85" s="93" t="str">
        <f t="shared" si="20"/>
        <v/>
      </c>
      <c r="S85" s="93" t="str">
        <f t="shared" si="21"/>
        <v/>
      </c>
      <c r="T85" s="93" t="str">
        <f t="shared" si="22"/>
        <v/>
      </c>
      <c r="U85" s="93"/>
      <c r="V85" s="107" t="str">
        <f t="shared" si="5"/>
        <v/>
      </c>
      <c r="W85" s="107"/>
    </row>
    <row r="86" ht="18.75" customHeight="1">
      <c r="A86" s="93"/>
      <c r="B86" s="93"/>
      <c r="C86" s="166"/>
      <c r="D86" s="166"/>
      <c r="E86" s="166"/>
      <c r="F86" s="166"/>
      <c r="G86" s="177"/>
      <c r="H86" s="182"/>
      <c r="I86" s="170"/>
      <c r="J86" s="169"/>
      <c r="K86" s="169"/>
      <c r="L86" s="183"/>
      <c r="M86" s="180"/>
      <c r="N86" s="181"/>
      <c r="O86" s="93"/>
      <c r="P86" s="93"/>
      <c r="Q86" s="93" t="str">
        <f t="shared" si="23"/>
        <v/>
      </c>
      <c r="R86" s="93" t="str">
        <f t="shared" si="20"/>
        <v/>
      </c>
      <c r="S86" s="93" t="str">
        <f t="shared" si="21"/>
        <v/>
      </c>
      <c r="T86" s="93" t="str">
        <f t="shared" si="22"/>
        <v/>
      </c>
      <c r="U86" s="93"/>
      <c r="V86" s="107" t="str">
        <f t="shared" si="5"/>
        <v/>
      </c>
      <c r="W86" s="107"/>
    </row>
    <row r="87" ht="18.75" customHeight="1">
      <c r="A87" s="93"/>
      <c r="B87" s="93"/>
      <c r="C87" s="166"/>
      <c r="D87" s="166"/>
      <c r="E87" s="166"/>
      <c r="F87" s="166"/>
      <c r="G87" s="177"/>
      <c r="H87" s="182"/>
      <c r="I87" s="170"/>
      <c r="J87" s="169"/>
      <c r="K87" s="169"/>
      <c r="L87" s="183"/>
      <c r="M87" s="180"/>
      <c r="N87" s="181"/>
      <c r="O87" s="93"/>
      <c r="P87" s="93"/>
      <c r="Q87" s="93" t="str">
        <f t="shared" si="23"/>
        <v/>
      </c>
      <c r="R87" s="93" t="str">
        <f t="shared" si="20"/>
        <v/>
      </c>
      <c r="S87" s="93" t="str">
        <f t="shared" si="21"/>
        <v/>
      </c>
      <c r="T87" s="93" t="str">
        <f t="shared" si="22"/>
        <v/>
      </c>
      <c r="U87" s="93"/>
      <c r="V87" s="107" t="str">
        <f t="shared" si="5"/>
        <v/>
      </c>
      <c r="W87" s="107"/>
    </row>
    <row r="88" ht="18.75" customHeight="1">
      <c r="A88" s="93"/>
      <c r="B88" s="93"/>
      <c r="C88" s="166"/>
      <c r="D88" s="166"/>
      <c r="E88" s="166"/>
      <c r="F88" s="166"/>
      <c r="G88" s="177"/>
      <c r="H88" s="182"/>
      <c r="I88" s="170"/>
      <c r="J88" s="169"/>
      <c r="K88" s="169"/>
      <c r="L88" s="183"/>
      <c r="M88" s="180"/>
      <c r="N88" s="181"/>
      <c r="O88" s="93"/>
      <c r="P88" s="93"/>
      <c r="Q88" s="93" t="str">
        <f t="shared" si="23"/>
        <v/>
      </c>
      <c r="R88" s="93" t="str">
        <f t="shared" si="20"/>
        <v/>
      </c>
      <c r="S88" s="93" t="str">
        <f t="shared" si="21"/>
        <v/>
      </c>
      <c r="T88" s="93" t="str">
        <f t="shared" si="22"/>
        <v/>
      </c>
      <c r="U88" s="93"/>
      <c r="V88" s="107" t="str">
        <f t="shared" si="5"/>
        <v/>
      </c>
      <c r="W88" s="107"/>
    </row>
    <row r="89" ht="18.75" customHeight="1">
      <c r="A89" s="93"/>
      <c r="B89" s="93"/>
      <c r="C89" s="166"/>
      <c r="D89" s="166"/>
      <c r="E89" s="166"/>
      <c r="F89" s="166"/>
      <c r="G89" s="177"/>
      <c r="H89" s="182"/>
      <c r="I89" s="170"/>
      <c r="J89" s="169"/>
      <c r="K89" s="169"/>
      <c r="L89" s="183"/>
      <c r="M89" s="180"/>
      <c r="N89" s="181"/>
      <c r="O89" s="93"/>
      <c r="P89" s="93"/>
      <c r="Q89" s="93" t="str">
        <f t="shared" si="23"/>
        <v/>
      </c>
      <c r="R89" s="93" t="str">
        <f t="shared" si="20"/>
        <v/>
      </c>
      <c r="S89" s="93" t="str">
        <f t="shared" si="21"/>
        <v/>
      </c>
      <c r="T89" s="93" t="str">
        <f t="shared" si="22"/>
        <v/>
      </c>
      <c r="U89" s="93"/>
      <c r="V89" s="107" t="str">
        <f t="shared" si="5"/>
        <v/>
      </c>
      <c r="W89" s="107"/>
    </row>
    <row r="90" ht="18.75" customHeight="1">
      <c r="A90" s="93"/>
      <c r="B90" s="93"/>
      <c r="C90" s="166"/>
      <c r="D90" s="166"/>
      <c r="E90" s="166"/>
      <c r="F90" s="166"/>
      <c r="G90" s="177"/>
      <c r="H90" s="182"/>
      <c r="I90" s="170"/>
      <c r="J90" s="169"/>
      <c r="K90" s="169"/>
      <c r="L90" s="183"/>
      <c r="M90" s="180"/>
      <c r="N90" s="181"/>
      <c r="O90" s="93"/>
      <c r="P90" s="93"/>
      <c r="Q90" s="93" t="str">
        <f t="shared" si="23"/>
        <v/>
      </c>
      <c r="R90" s="93" t="str">
        <f t="shared" si="20"/>
        <v/>
      </c>
      <c r="S90" s="93" t="str">
        <f t="shared" si="21"/>
        <v/>
      </c>
      <c r="T90" s="93" t="str">
        <f t="shared" si="22"/>
        <v/>
      </c>
      <c r="U90" s="93"/>
      <c r="V90" s="107" t="str">
        <f t="shared" si="5"/>
        <v/>
      </c>
      <c r="W90" s="107"/>
    </row>
    <row r="91" ht="18.75" customHeight="1">
      <c r="A91" s="93"/>
      <c r="B91" s="93"/>
      <c r="C91" s="166"/>
      <c r="D91" s="166"/>
      <c r="E91" s="166"/>
      <c r="F91" s="166"/>
      <c r="G91" s="177"/>
      <c r="H91" s="182"/>
      <c r="I91" s="170"/>
      <c r="J91" s="169"/>
      <c r="K91" s="169"/>
      <c r="L91" s="183"/>
      <c r="M91" s="180"/>
      <c r="N91" s="181"/>
      <c r="O91" s="93"/>
      <c r="P91" s="93"/>
      <c r="Q91" s="93" t="str">
        <f t="shared" si="23"/>
        <v/>
      </c>
      <c r="R91" s="93" t="str">
        <f t="shared" si="20"/>
        <v/>
      </c>
      <c r="S91" s="93" t="str">
        <f t="shared" si="21"/>
        <v/>
      </c>
      <c r="T91" s="93" t="str">
        <f t="shared" si="22"/>
        <v/>
      </c>
      <c r="U91" s="93"/>
      <c r="V91" s="107" t="str">
        <f t="shared" si="5"/>
        <v/>
      </c>
      <c r="W91" s="107"/>
    </row>
    <row r="92" ht="18.75" customHeight="1">
      <c r="A92" s="93"/>
      <c r="B92" s="93"/>
      <c r="C92" s="166"/>
      <c r="D92" s="166"/>
      <c r="E92" s="166"/>
      <c r="F92" s="166"/>
      <c r="G92" s="177"/>
      <c r="H92" s="182"/>
      <c r="I92" s="170"/>
      <c r="J92" s="169"/>
      <c r="K92" s="169"/>
      <c r="L92" s="183"/>
      <c r="M92" s="180"/>
      <c r="N92" s="181"/>
      <c r="O92" s="93"/>
      <c r="P92" s="93"/>
      <c r="Q92" s="93" t="str">
        <f t="shared" si="23"/>
        <v/>
      </c>
      <c r="R92" s="93" t="str">
        <f t="shared" si="20"/>
        <v/>
      </c>
      <c r="S92" s="93" t="str">
        <f t="shared" si="21"/>
        <v/>
      </c>
      <c r="T92" s="93" t="str">
        <f t="shared" si="22"/>
        <v/>
      </c>
      <c r="U92" s="93"/>
      <c r="V92" s="107"/>
      <c r="W92" s="107"/>
    </row>
    <row r="93" ht="18.75" customHeight="1">
      <c r="A93" s="93"/>
      <c r="B93" s="93"/>
      <c r="C93" s="166"/>
      <c r="D93" s="166"/>
      <c r="E93" s="166"/>
      <c r="F93" s="166"/>
      <c r="G93" s="177"/>
      <c r="H93" s="182"/>
      <c r="I93" s="170"/>
      <c r="J93" s="169"/>
      <c r="K93" s="169"/>
      <c r="L93" s="183"/>
      <c r="M93" s="180"/>
      <c r="N93" s="181"/>
      <c r="O93" s="93"/>
      <c r="P93" s="93"/>
      <c r="Q93" s="93" t="str">
        <f t="shared" si="23"/>
        <v/>
      </c>
      <c r="R93" s="93" t="str">
        <f t="shared" si="20"/>
        <v/>
      </c>
      <c r="S93" s="93" t="str">
        <f t="shared" si="21"/>
        <v/>
      </c>
      <c r="T93" s="93" t="str">
        <f t="shared" si="22"/>
        <v/>
      </c>
      <c r="U93" s="93"/>
      <c r="V93" s="107"/>
      <c r="W93" s="107"/>
    </row>
    <row r="94" ht="18.75" customHeight="1">
      <c r="A94" s="93"/>
      <c r="B94" s="93"/>
      <c r="C94" s="166"/>
      <c r="D94" s="166"/>
      <c r="E94" s="166"/>
      <c r="F94" s="166"/>
      <c r="G94" s="177"/>
      <c r="H94" s="182"/>
      <c r="I94" s="170"/>
      <c r="J94" s="169"/>
      <c r="K94" s="169"/>
      <c r="L94" s="183"/>
      <c r="M94" s="180"/>
      <c r="N94" s="181"/>
      <c r="O94" s="93"/>
      <c r="P94" s="93"/>
      <c r="Q94" s="93" t="str">
        <f t="shared" si="23"/>
        <v/>
      </c>
      <c r="R94" s="93" t="str">
        <f t="shared" si="20"/>
        <v/>
      </c>
      <c r="S94" s="93" t="str">
        <f t="shared" si="21"/>
        <v/>
      </c>
      <c r="T94" s="93" t="str">
        <f t="shared" si="22"/>
        <v/>
      </c>
      <c r="U94" s="93"/>
      <c r="V94" s="107"/>
      <c r="W94" s="107"/>
    </row>
    <row r="95" ht="18.75" customHeight="1">
      <c r="A95" s="93"/>
      <c r="B95" s="93"/>
      <c r="C95" s="166"/>
      <c r="D95" s="166"/>
      <c r="E95" s="166"/>
      <c r="F95" s="166"/>
      <c r="G95" s="177"/>
      <c r="H95" s="182"/>
      <c r="I95" s="170"/>
      <c r="J95" s="169"/>
      <c r="K95" s="169"/>
      <c r="L95" s="183"/>
      <c r="M95" s="180"/>
      <c r="N95" s="181"/>
      <c r="O95" s="93"/>
      <c r="P95" s="93"/>
      <c r="Q95" s="93" t="str">
        <f t="shared" si="23"/>
        <v/>
      </c>
      <c r="R95" s="93" t="str">
        <f t="shared" si="20"/>
        <v/>
      </c>
      <c r="S95" s="93" t="str">
        <f t="shared" si="21"/>
        <v/>
      </c>
      <c r="T95" s="93" t="str">
        <f t="shared" si="22"/>
        <v/>
      </c>
      <c r="U95" s="93"/>
      <c r="V95" s="107"/>
      <c r="W95" s="107"/>
    </row>
    <row r="96" ht="18.75" customHeight="1">
      <c r="A96" s="93"/>
      <c r="B96" s="93"/>
      <c r="C96" s="166"/>
      <c r="D96" s="166"/>
      <c r="E96" s="166"/>
      <c r="F96" s="166"/>
      <c r="G96" s="177"/>
      <c r="H96" s="182"/>
      <c r="I96" s="170"/>
      <c r="J96" s="169"/>
      <c r="K96" s="169"/>
      <c r="L96" s="183"/>
      <c r="M96" s="180"/>
      <c r="N96" s="181"/>
      <c r="O96" s="93"/>
      <c r="P96" s="93"/>
      <c r="Q96" s="93" t="str">
        <f t="shared" si="23"/>
        <v/>
      </c>
      <c r="R96" s="93" t="str">
        <f t="shared" si="20"/>
        <v/>
      </c>
      <c r="S96" s="93" t="str">
        <f t="shared" si="21"/>
        <v/>
      </c>
      <c r="T96" s="93" t="str">
        <f t="shared" si="22"/>
        <v/>
      </c>
      <c r="U96" s="93"/>
      <c r="V96" s="107"/>
      <c r="W96" s="107"/>
    </row>
    <row r="97" ht="18.75" customHeight="1">
      <c r="A97" s="93"/>
      <c r="B97" s="93"/>
      <c r="C97" s="166"/>
      <c r="D97" s="166"/>
      <c r="E97" s="166"/>
      <c r="F97" s="166"/>
      <c r="G97" s="177"/>
      <c r="H97" s="182"/>
      <c r="I97" s="170"/>
      <c r="J97" s="169"/>
      <c r="K97" s="169"/>
      <c r="L97" s="183"/>
      <c r="M97" s="180"/>
      <c r="N97" s="181"/>
      <c r="O97" s="93"/>
      <c r="P97" s="93"/>
      <c r="Q97" s="93" t="str">
        <f t="shared" si="23"/>
        <v/>
      </c>
      <c r="R97" s="93" t="str">
        <f t="shared" si="20"/>
        <v/>
      </c>
      <c r="S97" s="93" t="str">
        <f t="shared" si="21"/>
        <v/>
      </c>
      <c r="T97" s="93" t="str">
        <f t="shared" si="22"/>
        <v/>
      </c>
      <c r="U97" s="93"/>
      <c r="V97" s="107"/>
      <c r="W97" s="107"/>
    </row>
    <row r="98" ht="18.75" customHeight="1">
      <c r="A98" s="93"/>
      <c r="B98" s="93"/>
      <c r="C98" s="166"/>
      <c r="D98" s="166"/>
      <c r="E98" s="166"/>
      <c r="F98" s="166"/>
      <c r="G98" s="177"/>
      <c r="H98" s="182"/>
      <c r="I98" s="170"/>
      <c r="J98" s="169"/>
      <c r="K98" s="169"/>
      <c r="L98" s="183"/>
      <c r="M98" s="180"/>
      <c r="N98" s="181"/>
      <c r="O98" s="93"/>
      <c r="P98" s="93"/>
      <c r="Q98" s="93"/>
      <c r="R98" s="93"/>
      <c r="S98" s="93"/>
      <c r="T98" s="93"/>
      <c r="U98" s="93"/>
      <c r="V98" s="107"/>
      <c r="W98" s="107"/>
    </row>
    <row r="99" ht="18.75" customHeight="1">
      <c r="A99" s="93"/>
      <c r="B99" s="93"/>
      <c r="C99" s="166"/>
      <c r="D99" s="166"/>
      <c r="E99" s="166"/>
      <c r="F99" s="166"/>
      <c r="G99" s="177"/>
      <c r="H99" s="182"/>
      <c r="I99" s="170"/>
      <c r="J99" s="169"/>
      <c r="K99" s="169"/>
      <c r="L99" s="183"/>
      <c r="M99" s="180"/>
      <c r="N99" s="181"/>
      <c r="O99" s="93"/>
      <c r="P99" s="93"/>
      <c r="Q99" s="93"/>
      <c r="R99" s="93"/>
      <c r="S99" s="93"/>
      <c r="T99" s="93"/>
      <c r="U99" s="93"/>
      <c r="V99" s="107"/>
      <c r="W99" s="107"/>
    </row>
    <row r="100" ht="18.75" customHeight="1">
      <c r="A100" s="93"/>
      <c r="B100" s="93"/>
      <c r="C100" s="166"/>
      <c r="D100" s="166"/>
      <c r="E100" s="166"/>
      <c r="F100" s="166"/>
      <c r="G100" s="177"/>
      <c r="H100" s="182"/>
      <c r="I100" s="170"/>
      <c r="J100" s="169"/>
      <c r="K100" s="169"/>
      <c r="L100" s="183"/>
      <c r="M100" s="180"/>
      <c r="N100" s="181"/>
      <c r="O100" s="93"/>
      <c r="P100" s="93"/>
      <c r="Q100" s="93"/>
      <c r="R100" s="93"/>
      <c r="S100" s="93"/>
      <c r="T100" s="93"/>
      <c r="U100" s="93"/>
      <c r="V100" s="107"/>
      <c r="W100" s="107"/>
    </row>
    <row r="101" ht="18.75" customHeight="1">
      <c r="A101" s="93"/>
      <c r="B101" s="93"/>
      <c r="C101" s="166"/>
      <c r="D101" s="166"/>
      <c r="E101" s="166"/>
      <c r="F101" s="166"/>
      <c r="G101" s="177"/>
      <c r="H101" s="182"/>
      <c r="I101" s="170"/>
      <c r="J101" s="169"/>
      <c r="K101" s="169"/>
      <c r="L101" s="183"/>
      <c r="M101" s="180"/>
      <c r="N101" s="181"/>
      <c r="O101" s="93"/>
      <c r="P101" s="93"/>
      <c r="Q101" s="93"/>
      <c r="R101" s="93"/>
      <c r="S101" s="93"/>
      <c r="T101" s="93"/>
      <c r="U101" s="93"/>
      <c r="V101" s="107"/>
      <c r="W101" s="107"/>
    </row>
    <row r="102" ht="18.75" customHeight="1">
      <c r="A102" s="93"/>
      <c r="B102" s="93"/>
      <c r="C102" s="166"/>
      <c r="D102" s="166"/>
      <c r="E102" s="166"/>
      <c r="F102" s="166"/>
      <c r="G102" s="177"/>
      <c r="H102" s="182"/>
      <c r="I102" s="170"/>
      <c r="J102" s="169"/>
      <c r="K102" s="169"/>
      <c r="L102" s="183"/>
      <c r="M102" s="180"/>
      <c r="N102" s="181"/>
      <c r="O102" s="93"/>
      <c r="P102" s="93"/>
      <c r="Q102" s="93"/>
      <c r="R102" s="93"/>
      <c r="S102" s="93"/>
      <c r="T102" s="93"/>
      <c r="U102" s="93"/>
      <c r="V102" s="107"/>
      <c r="W102" s="107"/>
    </row>
    <row r="103" ht="18.75" customHeight="1">
      <c r="A103" s="93"/>
      <c r="B103" s="93"/>
      <c r="C103" s="166"/>
      <c r="D103" s="166"/>
      <c r="E103" s="166"/>
      <c r="F103" s="166"/>
      <c r="G103" s="177"/>
      <c r="H103" s="182"/>
      <c r="I103" s="170"/>
      <c r="J103" s="169"/>
      <c r="K103" s="169"/>
      <c r="L103" s="183"/>
      <c r="M103" s="180"/>
      <c r="N103" s="181"/>
      <c r="O103" s="93"/>
      <c r="P103" s="93"/>
      <c r="Q103" s="93"/>
      <c r="R103" s="93"/>
      <c r="S103" s="93"/>
      <c r="T103" s="93"/>
      <c r="U103" s="93"/>
      <c r="V103" s="107"/>
      <c r="W103" s="107"/>
    </row>
    <row r="104" ht="18.75" customHeight="1">
      <c r="A104" s="93"/>
      <c r="B104" s="93"/>
      <c r="C104" s="166"/>
      <c r="D104" s="166"/>
      <c r="E104" s="166"/>
      <c r="F104" s="166"/>
      <c r="G104" s="177"/>
      <c r="H104" s="182"/>
      <c r="I104" s="170"/>
      <c r="J104" s="169"/>
      <c r="K104" s="169"/>
      <c r="L104" s="183"/>
      <c r="M104" s="180"/>
      <c r="N104" s="181"/>
      <c r="O104" s="93"/>
      <c r="P104" s="93"/>
      <c r="Q104" s="93"/>
      <c r="R104" s="93"/>
      <c r="S104" s="93"/>
      <c r="T104" s="93"/>
      <c r="U104" s="93"/>
      <c r="V104" s="107"/>
      <c r="W104" s="107"/>
    </row>
    <row r="105" ht="18.75" customHeight="1">
      <c r="A105" s="93"/>
      <c r="B105" s="93"/>
      <c r="C105" s="166"/>
      <c r="D105" s="166"/>
      <c r="E105" s="166"/>
      <c r="F105" s="166"/>
      <c r="G105" s="177"/>
      <c r="H105" s="182"/>
      <c r="I105" s="170"/>
      <c r="J105" s="169"/>
      <c r="K105" s="169"/>
      <c r="L105" s="183"/>
      <c r="M105" s="180"/>
      <c r="N105" s="181"/>
      <c r="O105" s="93"/>
      <c r="P105" s="93"/>
      <c r="Q105" s="93"/>
      <c r="R105" s="93"/>
      <c r="S105" s="93"/>
      <c r="T105" s="93"/>
      <c r="U105" s="93"/>
      <c r="V105" s="107"/>
      <c r="W105" s="107"/>
    </row>
    <row r="106" ht="18.75" customHeight="1">
      <c r="A106" s="93"/>
      <c r="B106" s="93"/>
      <c r="C106" s="166"/>
      <c r="D106" s="166"/>
      <c r="E106" s="166"/>
      <c r="F106" s="166"/>
      <c r="G106" s="177"/>
      <c r="H106" s="182"/>
      <c r="I106" s="170"/>
      <c r="J106" s="169"/>
      <c r="K106" s="169"/>
      <c r="L106" s="183"/>
      <c r="M106" s="180"/>
      <c r="N106" s="181"/>
      <c r="O106" s="93"/>
      <c r="P106" s="93"/>
      <c r="Q106" s="93"/>
      <c r="R106" s="93"/>
      <c r="S106" s="93"/>
      <c r="T106" s="93"/>
      <c r="U106" s="93"/>
      <c r="V106" s="107"/>
      <c r="W106" s="107"/>
    </row>
    <row r="107" ht="18.75" customHeight="1">
      <c r="A107" s="93"/>
      <c r="B107" s="93"/>
      <c r="C107" s="166"/>
      <c r="D107" s="166"/>
      <c r="E107" s="166"/>
      <c r="F107" s="166"/>
      <c r="G107" s="177"/>
      <c r="H107" s="182"/>
      <c r="I107" s="170"/>
      <c r="J107" s="169"/>
      <c r="K107" s="169"/>
      <c r="L107" s="183"/>
      <c r="M107" s="180"/>
      <c r="N107" s="181"/>
      <c r="O107" s="93"/>
      <c r="P107" s="93"/>
      <c r="Q107" s="93"/>
      <c r="R107" s="93"/>
      <c r="S107" s="93"/>
      <c r="T107" s="93"/>
      <c r="U107" s="93"/>
      <c r="V107" s="107"/>
      <c r="W107" s="107"/>
    </row>
    <row r="108" ht="18.75" customHeight="1">
      <c r="A108" s="93"/>
      <c r="B108" s="93"/>
      <c r="C108" s="166"/>
      <c r="D108" s="166"/>
      <c r="E108" s="166"/>
      <c r="F108" s="166"/>
      <c r="G108" s="177"/>
      <c r="H108" s="182"/>
      <c r="I108" s="170"/>
      <c r="J108" s="169"/>
      <c r="K108" s="169"/>
      <c r="L108" s="183"/>
      <c r="M108" s="180"/>
      <c r="N108" s="181"/>
      <c r="O108" s="93"/>
      <c r="P108" s="93"/>
      <c r="Q108" s="93"/>
      <c r="R108" s="93"/>
      <c r="S108" s="93"/>
      <c r="T108" s="93"/>
      <c r="U108" s="93"/>
      <c r="V108" s="107"/>
      <c r="W108" s="107"/>
    </row>
    <row r="109" ht="18.75" customHeight="1">
      <c r="A109" s="93"/>
      <c r="B109" s="93"/>
      <c r="C109" s="166"/>
      <c r="D109" s="166"/>
      <c r="E109" s="166"/>
      <c r="F109" s="166"/>
      <c r="G109" s="177"/>
      <c r="H109" s="182"/>
      <c r="I109" s="170"/>
      <c r="J109" s="169"/>
      <c r="K109" s="169"/>
      <c r="L109" s="183"/>
      <c r="M109" s="180"/>
      <c r="N109" s="181"/>
      <c r="O109" s="93"/>
      <c r="P109" s="93"/>
      <c r="Q109" s="93"/>
      <c r="R109" s="93"/>
      <c r="S109" s="93"/>
      <c r="T109" s="93"/>
      <c r="U109" s="93"/>
      <c r="V109" s="107"/>
      <c r="W109" s="107"/>
    </row>
    <row r="110" ht="18.75" customHeight="1">
      <c r="A110" s="93"/>
      <c r="B110" s="93"/>
      <c r="C110" s="166"/>
      <c r="D110" s="166"/>
      <c r="E110" s="166"/>
      <c r="F110" s="166"/>
      <c r="G110" s="177"/>
      <c r="H110" s="182"/>
      <c r="I110" s="170"/>
      <c r="J110" s="169"/>
      <c r="K110" s="169"/>
      <c r="L110" s="183"/>
      <c r="M110" s="180"/>
      <c r="N110" s="181"/>
      <c r="O110" s="93"/>
      <c r="P110" s="93"/>
      <c r="Q110" s="93"/>
      <c r="R110" s="93"/>
      <c r="S110" s="93"/>
      <c r="T110" s="93"/>
      <c r="U110" s="93"/>
      <c r="V110" s="107"/>
      <c r="W110" s="107"/>
    </row>
    <row r="111" ht="18.75" customHeight="1">
      <c r="A111" s="93"/>
      <c r="B111" s="93"/>
      <c r="C111" s="166"/>
      <c r="D111" s="166"/>
      <c r="E111" s="166"/>
      <c r="F111" s="166"/>
      <c r="G111" s="177"/>
      <c r="H111" s="182"/>
      <c r="I111" s="170"/>
      <c r="J111" s="169"/>
      <c r="K111" s="169"/>
      <c r="L111" s="183"/>
      <c r="M111" s="180"/>
      <c r="N111" s="181"/>
      <c r="O111" s="93"/>
      <c r="P111" s="93"/>
      <c r="Q111" s="93"/>
      <c r="R111" s="93"/>
      <c r="S111" s="93"/>
      <c r="T111" s="93"/>
      <c r="U111" s="93"/>
      <c r="V111" s="107"/>
      <c r="W111" s="107"/>
    </row>
    <row r="112" ht="18.75" customHeight="1">
      <c r="A112" s="93"/>
      <c r="B112" s="93"/>
      <c r="C112" s="166"/>
      <c r="D112" s="166"/>
      <c r="E112" s="166"/>
      <c r="F112" s="166"/>
      <c r="G112" s="177"/>
      <c r="H112" s="182"/>
      <c r="I112" s="170"/>
      <c r="J112" s="169"/>
      <c r="K112" s="169"/>
      <c r="L112" s="183"/>
      <c r="M112" s="180"/>
      <c r="N112" s="181"/>
      <c r="O112" s="93"/>
      <c r="P112" s="93"/>
      <c r="Q112" s="93"/>
      <c r="R112" s="93"/>
      <c r="S112" s="93"/>
      <c r="T112" s="93"/>
      <c r="U112" s="93"/>
      <c r="V112" s="107"/>
      <c r="W112" s="107"/>
    </row>
    <row r="113" ht="18.75" customHeight="1">
      <c r="A113" s="93"/>
      <c r="B113" s="93"/>
      <c r="C113" s="166"/>
      <c r="D113" s="166"/>
      <c r="E113" s="166"/>
      <c r="F113" s="166"/>
      <c r="G113" s="177"/>
      <c r="H113" s="182"/>
      <c r="I113" s="170"/>
      <c r="J113" s="169"/>
      <c r="K113" s="169"/>
      <c r="L113" s="183"/>
      <c r="M113" s="180"/>
      <c r="N113" s="186"/>
      <c r="O113" s="93"/>
      <c r="P113" s="93"/>
      <c r="Q113" s="93"/>
      <c r="R113" s="93"/>
      <c r="S113" s="93"/>
      <c r="T113" s="93"/>
      <c r="U113" s="93"/>
      <c r="V113" s="107"/>
      <c r="W113" s="107"/>
    </row>
    <row r="114" ht="18.75" customHeight="1">
      <c r="A114" s="93"/>
      <c r="B114" s="93"/>
      <c r="C114" s="166"/>
      <c r="D114" s="166"/>
      <c r="E114" s="166"/>
      <c r="F114" s="166"/>
      <c r="G114" s="177"/>
      <c r="H114" s="182"/>
      <c r="I114" s="170"/>
      <c r="J114" s="169"/>
      <c r="K114" s="169"/>
      <c r="L114" s="183"/>
      <c r="M114" s="180"/>
      <c r="N114" s="186"/>
      <c r="O114" s="93"/>
      <c r="P114" s="93"/>
      <c r="Q114" s="93"/>
      <c r="R114" s="93"/>
      <c r="S114" s="93"/>
      <c r="T114" s="93"/>
      <c r="U114" s="93"/>
      <c r="V114" s="107"/>
      <c r="W114" s="107"/>
    </row>
    <row r="115" ht="18.75" customHeight="1">
      <c r="A115" s="93"/>
      <c r="B115" s="93"/>
      <c r="C115" s="166"/>
      <c r="D115" s="166"/>
      <c r="E115" s="166"/>
      <c r="F115" s="166"/>
      <c r="G115" s="177"/>
      <c r="H115" s="182"/>
      <c r="I115" s="170"/>
      <c r="J115" s="169"/>
      <c r="K115" s="169"/>
      <c r="L115" s="183"/>
      <c r="M115" s="180"/>
      <c r="N115" s="186"/>
      <c r="O115" s="93"/>
      <c r="P115" s="93"/>
      <c r="Q115" s="93"/>
      <c r="R115" s="93"/>
      <c r="S115" s="93"/>
      <c r="T115" s="93"/>
      <c r="U115" s="93"/>
      <c r="V115" s="107"/>
      <c r="W115" s="107"/>
    </row>
    <row r="116" ht="18.75" customHeight="1">
      <c r="A116" s="93"/>
      <c r="B116" s="93"/>
      <c r="C116" s="166"/>
      <c r="D116" s="166"/>
      <c r="E116" s="166"/>
      <c r="F116" s="166"/>
      <c r="G116" s="177"/>
      <c r="H116" s="182"/>
      <c r="I116" s="170"/>
      <c r="J116" s="169"/>
      <c r="K116" s="169"/>
      <c r="L116" s="183"/>
      <c r="M116" s="180"/>
      <c r="N116" s="186"/>
      <c r="O116" s="93"/>
      <c r="P116" s="93"/>
      <c r="Q116" s="93"/>
      <c r="R116" s="93"/>
      <c r="S116" s="93"/>
      <c r="T116" s="93"/>
      <c r="U116" s="93"/>
      <c r="V116" s="107"/>
      <c r="W116" s="107"/>
    </row>
    <row r="117" ht="18.75" customHeight="1">
      <c r="A117" s="93"/>
      <c r="B117" s="93"/>
      <c r="C117" s="166"/>
      <c r="D117" s="166"/>
      <c r="E117" s="166"/>
      <c r="F117" s="166"/>
      <c r="G117" s="177"/>
      <c r="H117" s="182"/>
      <c r="I117" s="170"/>
      <c r="J117" s="169"/>
      <c r="K117" s="169"/>
      <c r="L117" s="183"/>
      <c r="M117" s="180"/>
      <c r="N117" s="186"/>
      <c r="O117" s="93"/>
      <c r="P117" s="93"/>
      <c r="Q117" s="93"/>
      <c r="R117" s="93"/>
      <c r="S117" s="93"/>
      <c r="T117" s="93"/>
      <c r="U117" s="93"/>
      <c r="V117" s="107"/>
      <c r="W117" s="107"/>
    </row>
    <row r="118" ht="18.75" customHeight="1">
      <c r="A118" s="93"/>
      <c r="B118" s="93"/>
      <c r="C118" s="166"/>
      <c r="D118" s="166"/>
      <c r="E118" s="166"/>
      <c r="F118" s="166"/>
      <c r="G118" s="177"/>
      <c r="H118" s="182"/>
      <c r="I118" s="170"/>
      <c r="J118" s="169"/>
      <c r="K118" s="169"/>
      <c r="L118" s="183"/>
      <c r="M118" s="180"/>
      <c r="N118" s="186"/>
      <c r="O118" s="93"/>
      <c r="P118" s="93"/>
      <c r="Q118" s="93"/>
      <c r="R118" s="93"/>
      <c r="S118" s="93"/>
      <c r="T118" s="93"/>
      <c r="U118" s="93"/>
      <c r="V118" s="107"/>
      <c r="W118" s="107"/>
    </row>
    <row r="119" ht="18.75" customHeight="1">
      <c r="A119" s="93"/>
      <c r="B119" s="93"/>
      <c r="C119" s="166"/>
      <c r="D119" s="166"/>
      <c r="E119" s="166"/>
      <c r="F119" s="166"/>
      <c r="G119" s="177"/>
      <c r="H119" s="182"/>
      <c r="I119" s="170"/>
      <c r="J119" s="169"/>
      <c r="K119" s="169"/>
      <c r="L119" s="183"/>
      <c r="M119" s="180"/>
      <c r="N119" s="186"/>
      <c r="O119" s="93"/>
      <c r="P119" s="93"/>
      <c r="Q119" s="93"/>
      <c r="R119" s="93"/>
      <c r="S119" s="93"/>
      <c r="T119" s="93"/>
      <c r="U119" s="93"/>
      <c r="V119" s="107"/>
      <c r="W119" s="107"/>
    </row>
    <row r="120" ht="18.75" customHeight="1">
      <c r="A120" s="93"/>
      <c r="B120" s="93"/>
      <c r="C120" s="166"/>
      <c r="D120" s="166"/>
      <c r="E120" s="166"/>
      <c r="F120" s="166"/>
      <c r="G120" s="177"/>
      <c r="H120" s="182"/>
      <c r="I120" s="170"/>
      <c r="J120" s="169"/>
      <c r="K120" s="169"/>
      <c r="L120" s="183"/>
      <c r="M120" s="180"/>
      <c r="N120" s="186"/>
      <c r="O120" s="93"/>
      <c r="P120" s="93"/>
      <c r="Q120" s="93"/>
      <c r="R120" s="93"/>
      <c r="S120" s="93"/>
      <c r="T120" s="93"/>
      <c r="U120" s="93"/>
      <c r="V120" s="107"/>
      <c r="W120" s="107"/>
    </row>
    <row r="121" ht="18.75" customHeight="1">
      <c r="A121" s="93"/>
      <c r="B121" s="93"/>
      <c r="C121" s="166"/>
      <c r="D121" s="166"/>
      <c r="E121" s="166"/>
      <c r="F121" s="166"/>
      <c r="G121" s="177"/>
      <c r="H121" s="182"/>
      <c r="I121" s="170"/>
      <c r="J121" s="169"/>
      <c r="K121" s="169"/>
      <c r="L121" s="183"/>
      <c r="M121" s="180"/>
      <c r="N121" s="186"/>
      <c r="O121" s="93"/>
      <c r="P121" s="93"/>
      <c r="Q121" s="93"/>
      <c r="R121" s="93"/>
      <c r="S121" s="93"/>
      <c r="T121" s="93"/>
      <c r="U121" s="93"/>
      <c r="V121" s="107"/>
      <c r="W121" s="107"/>
    </row>
    <row r="122" ht="18.75" customHeight="1">
      <c r="A122" s="93"/>
      <c r="B122" s="93"/>
      <c r="C122" s="166"/>
      <c r="D122" s="166"/>
      <c r="E122" s="166"/>
      <c r="F122" s="166"/>
      <c r="G122" s="177"/>
      <c r="H122" s="182"/>
      <c r="I122" s="170"/>
      <c r="J122" s="169"/>
      <c r="K122" s="169"/>
      <c r="L122" s="183"/>
      <c r="M122" s="180"/>
      <c r="N122" s="186"/>
      <c r="O122" s="93"/>
      <c r="P122" s="93"/>
      <c r="Q122" s="93"/>
      <c r="R122" s="93"/>
      <c r="S122" s="93"/>
      <c r="T122" s="93"/>
      <c r="U122" s="93"/>
      <c r="V122" s="107"/>
      <c r="W122" s="107"/>
    </row>
  </sheetData>
  <conditionalFormatting sqref="C3:C32">
    <cfRule type="expression" dxfId="8" priority="1">
      <formula>C3&gt;=$Q$10</formula>
    </cfRule>
  </conditionalFormatting>
  <conditionalFormatting sqref="C3:C32">
    <cfRule type="expression" dxfId="10" priority="2">
      <formula>OR($B3&lt;=$A$1,$A$1="")</formula>
    </cfRule>
  </conditionalFormatting>
  <conditionalFormatting sqref="E3:E32 J3:J32">
    <cfRule type="expression" dxfId="12" priority="3">
      <formula>OR($B3&lt;=$A$1,$A$1="")</formula>
    </cfRule>
  </conditionalFormatting>
  <conditionalFormatting sqref="G3:G32 L3:N32">
    <cfRule type="expression" dxfId="13" priority="4">
      <formula>OR($B3&lt;=$A$1,$A$1="")</formula>
    </cfRule>
  </conditionalFormatting>
  <conditionalFormatting sqref="J3:J32">
    <cfRule type="expression" dxfId="12" priority="5">
      <formula>OR($B3&lt;=$A$1,$A$1="")</formula>
    </cfRule>
  </conditionalFormatting>
  <conditionalFormatting sqref="C33">
    <cfRule type="expression" dxfId="9" priority="6">
      <formula>A1=""</formula>
    </cfRule>
  </conditionalFormatting>
  <conditionalFormatting sqref="C3:C33">
    <cfRule type="expression" dxfId="9" priority="7">
      <formula>B2=$A$1</formula>
    </cfRule>
  </conditionalFormatting>
  <conditionalFormatting sqref="C3:C33">
    <cfRule type="expression" dxfId="9" priority="8">
      <formula>B2=$A$1</formula>
    </cfRule>
  </conditionalFormatting>
  <conditionalFormatting sqref="B3:B33">
    <cfRule type="cellIs" dxfId="11" priority="9" operator="lessThan">
      <formula>"$a$1"</formula>
    </cfRule>
  </conditionalFormatting>
  <conditionalFormatting sqref="E3:E32 J3:J32">
    <cfRule type="expression" dxfId="12" priority="10">
      <formula>$B3&lt;=$A$1</formula>
    </cfRule>
  </conditionalFormatting>
  <conditionalFormatting sqref="G3:G32 L3:N32">
    <cfRule type="expression" dxfId="13" priority="11">
      <formula>$B3&lt;=$A$1</formula>
    </cfRule>
  </conditionalFormatting>
  <conditionalFormatting sqref="J3:J32">
    <cfRule type="expression" dxfId="12" priority="12">
      <formula>$B3&lt;=$A$1</formula>
    </cfRule>
  </conditionalFormatting>
  <conditionalFormatting sqref="H3:I33">
    <cfRule type="expression" dxfId="14" priority="13">
      <formula>$B3&lt;=$A$1</formula>
    </cfRule>
  </conditionalFormatting>
  <conditionalFormatting sqref="D4:D120">
    <cfRule type="expression" dxfId="6" priority="14">
      <formula>$K4="OK"</formula>
    </cfRule>
  </conditionalFormatting>
  <conditionalFormatting sqref="P24:T24">
    <cfRule type="notContainsBlanks" dxfId="7" priority="15">
      <formula>LEN(TRIM(P24))&gt;0</formula>
    </cfRule>
  </conditionalFormatting>
  <dataValidations>
    <dataValidation type="list" allowBlank="1" showErrorMessage="1" sqref="M3:M32">
      <formula1>Diretrizes!$B$17:$B$33</formula1>
    </dataValidation>
  </dataValidations>
  <printOptions/>
  <pageMargins bottom="0.7875" footer="0.0" header="0.0" left="0.511805555555555" right="0.511805555555555" top="0.78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5.57"/>
    <col customWidth="1" min="3" max="3" width="10.0"/>
    <col customWidth="1" hidden="1" min="4" max="4" width="9.43"/>
    <col customWidth="1" min="5" max="5" width="11.57"/>
    <col customWidth="1" hidden="1" min="6" max="6" width="12.29"/>
    <col customWidth="1" min="7" max="7" width="7.71"/>
    <col customWidth="1" hidden="1" min="8" max="8" width="11.86"/>
    <col customWidth="1" hidden="1" min="9" max="9" width="9.29"/>
    <col customWidth="1" min="10" max="10" width="9.71"/>
    <col customWidth="1" hidden="1" min="11" max="11" width="9.14"/>
    <col customWidth="1" min="12" max="12" width="20.57"/>
    <col customWidth="1" min="13" max="13" width="22.86"/>
    <col customWidth="1" min="14" max="14" width="15.43"/>
    <col customWidth="1" min="15" max="15" width="5.14"/>
    <col customWidth="1" min="16" max="16" width="22.0"/>
    <col customWidth="1" min="17" max="17" width="14.14"/>
    <col customWidth="1" min="18" max="18" width="6.43"/>
    <col customWidth="1" min="19" max="20" width="12.14"/>
    <col customWidth="1" min="21" max="21" width="3.0"/>
    <col customWidth="1" hidden="1" min="22" max="23" width="14.71"/>
  </cols>
  <sheetData>
    <row r="1" ht="18.75" customHeight="1">
      <c r="A1" s="84">
        <f>IF(Diretrizes!J3&lt;2,"",Diretrizes!J3)</f>
        <v>12</v>
      </c>
      <c r="B1" s="85"/>
      <c r="C1" s="86" t="s">
        <v>36</v>
      </c>
      <c r="D1" s="87" t="s">
        <v>36</v>
      </c>
      <c r="E1" s="88" t="s">
        <v>37</v>
      </c>
      <c r="F1" s="89" t="s">
        <v>38</v>
      </c>
      <c r="G1" s="90"/>
      <c r="H1" s="91"/>
      <c r="I1" s="91"/>
      <c r="J1" s="88"/>
      <c r="K1" s="92"/>
      <c r="L1" s="90"/>
      <c r="M1" s="90"/>
      <c r="N1" s="90"/>
      <c r="O1" s="93"/>
      <c r="P1" s="93"/>
      <c r="Q1" s="93"/>
      <c r="R1" s="93"/>
      <c r="S1" s="93"/>
      <c r="T1" s="93"/>
      <c r="U1" s="93"/>
      <c r="V1" s="94"/>
      <c r="W1" s="94"/>
    </row>
    <row r="2" ht="18.75" customHeight="1">
      <c r="A2" s="93"/>
      <c r="B2" s="95" t="s">
        <v>39</v>
      </c>
      <c r="C2" s="96" t="s">
        <v>40</v>
      </c>
      <c r="D2" s="87" t="s">
        <v>41</v>
      </c>
      <c r="E2" s="97" t="s">
        <v>40</v>
      </c>
      <c r="F2" s="89" t="s">
        <v>41</v>
      </c>
      <c r="G2" s="98" t="s">
        <v>42</v>
      </c>
      <c r="H2" s="99" t="s">
        <v>43</v>
      </c>
      <c r="I2" s="99" t="s">
        <v>60</v>
      </c>
      <c r="J2" s="97" t="s">
        <v>45</v>
      </c>
      <c r="K2" s="100"/>
      <c r="L2" s="98" t="s">
        <v>39</v>
      </c>
      <c r="M2" s="98" t="s">
        <v>24</v>
      </c>
      <c r="N2" s="98" t="s">
        <v>34</v>
      </c>
      <c r="O2" s="101"/>
      <c r="P2" s="102" t="s">
        <v>46</v>
      </c>
      <c r="Q2" s="103"/>
      <c r="R2" s="104"/>
      <c r="S2" s="105"/>
      <c r="T2" s="106"/>
      <c r="U2" s="106"/>
      <c r="V2" s="107"/>
      <c r="W2" s="107"/>
    </row>
    <row r="3" ht="18.0" customHeight="1">
      <c r="A3" s="93"/>
      <c r="B3" s="108">
        <v>1.0</v>
      </c>
      <c r="C3" s="109">
        <f>Diretrizes!G3</f>
        <v>156.25</v>
      </c>
      <c r="D3" s="110">
        <f>C3</f>
        <v>156.25</v>
      </c>
      <c r="E3" s="111">
        <f t="shared" ref="E3:E32" si="1">if(C3="",,IF(B3="",,C3*J3))</f>
        <v>6.25</v>
      </c>
      <c r="F3" s="110">
        <f t="shared" ref="F3:F32" si="2">if(D3="",,D3*J3)</f>
        <v>6.25</v>
      </c>
      <c r="G3" s="112"/>
      <c r="H3" s="113" t="str">
        <f t="shared" ref="H3:H32" si="3">IF(G3=0,,G3/C3)</f>
        <v/>
      </c>
      <c r="I3" s="114" t="str">
        <f>if(G3="",,G3-F3)</f>
        <v/>
      </c>
      <c r="J3" s="115">
        <f>Diretrizes!G4</f>
        <v>0.04</v>
      </c>
      <c r="K3" s="116"/>
      <c r="L3" s="184"/>
      <c r="M3" s="118"/>
      <c r="N3" s="118"/>
      <c r="O3" s="101"/>
      <c r="P3" s="119" t="s">
        <v>48</v>
      </c>
      <c r="Q3" s="120"/>
      <c r="R3" s="121"/>
      <c r="S3" s="105"/>
      <c r="T3" s="122"/>
      <c r="U3" s="122"/>
      <c r="V3" s="107" t="str">
        <f t="shared" ref="V3:V77" si="4">if(L3="","", left(L3, find(" x ",L3)-1))</f>
        <v/>
      </c>
      <c r="W3" s="107" t="str">
        <f t="shared" ref="W3:W89" si="5">if(L3="","", TRIM(mid(L3,find(" x ",L3)+3,20)))</f>
        <v/>
      </c>
    </row>
    <row r="4" ht="18.0" customHeight="1">
      <c r="A4" s="93"/>
      <c r="B4" s="123">
        <f t="shared" ref="B4:B32" si="6">IF(B3&lt;$A$1,B3+1,if($A$1="",B3+1,""))</f>
        <v>2</v>
      </c>
      <c r="C4" s="110" t="str">
        <f t="shared" ref="C4:C33" si="7">IF(G3&lt;&gt;0,C3+G3,)</f>
        <v/>
      </c>
      <c r="D4" s="110" t="str">
        <f t="shared" ref="D4:D33" si="8">if(C4="",,D3*(1+J3))</f>
        <v/>
      </c>
      <c r="E4" s="124" t="str">
        <f t="shared" si="1"/>
        <v/>
      </c>
      <c r="F4" s="110" t="str">
        <f t="shared" si="2"/>
        <v/>
      </c>
      <c r="G4" s="125"/>
      <c r="H4" s="116" t="str">
        <f t="shared" si="3"/>
        <v/>
      </c>
      <c r="I4" s="126" t="str">
        <f t="shared" ref="I4:I32" si="9">IF(G4=0,,G4-F4)</f>
        <v/>
      </c>
      <c r="J4" s="127">
        <f>if(B4&lt;&gt;"",J3*(1-Diretrizes!G$5),)</f>
        <v>0.04</v>
      </c>
      <c r="K4" s="116" t="str">
        <f t="shared" ref="K4:K12" si="10">IF(AND(D4&gt;$Q$9,D3&lt;$Q$9),"OK","NOK")</f>
        <v>NOK</v>
      </c>
      <c r="L4" s="185"/>
      <c r="M4" s="118"/>
      <c r="N4" s="118"/>
      <c r="O4" s="128"/>
      <c r="P4" s="121"/>
      <c r="Q4" s="121"/>
      <c r="R4" s="104"/>
      <c r="S4" s="105"/>
      <c r="T4" s="122"/>
      <c r="U4" s="122"/>
      <c r="V4" s="107" t="str">
        <f t="shared" si="4"/>
        <v/>
      </c>
      <c r="W4" s="107" t="str">
        <f t="shared" si="5"/>
        <v/>
      </c>
    </row>
    <row r="5" ht="18.0" customHeight="1">
      <c r="A5" s="93"/>
      <c r="B5" s="123">
        <f t="shared" si="6"/>
        <v>3</v>
      </c>
      <c r="C5" s="110" t="str">
        <f t="shared" si="7"/>
        <v/>
      </c>
      <c r="D5" s="110" t="str">
        <f t="shared" si="8"/>
        <v/>
      </c>
      <c r="E5" s="124" t="str">
        <f t="shared" si="1"/>
        <v/>
      </c>
      <c r="F5" s="110" t="str">
        <f t="shared" si="2"/>
        <v/>
      </c>
      <c r="G5" s="125"/>
      <c r="H5" s="116" t="str">
        <f t="shared" si="3"/>
        <v/>
      </c>
      <c r="I5" s="126" t="str">
        <f t="shared" si="9"/>
        <v/>
      </c>
      <c r="J5" s="127">
        <f>if(B5&lt;&gt;"",J4*(1-Diretrizes!G$5),)</f>
        <v>0.04</v>
      </c>
      <c r="K5" s="116" t="str">
        <f t="shared" si="10"/>
        <v>NOK</v>
      </c>
      <c r="L5" s="185"/>
      <c r="M5" s="118"/>
      <c r="N5" s="118"/>
      <c r="O5" s="130"/>
      <c r="P5" s="131" t="s">
        <v>6</v>
      </c>
      <c r="Q5" s="132">
        <f>Diretrizes!G3</f>
        <v>156.25</v>
      </c>
      <c r="R5" s="104"/>
      <c r="S5" s="131" t="s">
        <v>44</v>
      </c>
      <c r="T5" s="132">
        <f>SUM(I3:I32)</f>
        <v>0</v>
      </c>
      <c r="U5" s="133"/>
      <c r="V5" s="107" t="str">
        <f t="shared" si="4"/>
        <v/>
      </c>
      <c r="W5" s="107" t="str">
        <f t="shared" si="5"/>
        <v/>
      </c>
    </row>
    <row r="6" ht="18.0" customHeight="1">
      <c r="A6" s="93"/>
      <c r="B6" s="123">
        <f t="shared" si="6"/>
        <v>4</v>
      </c>
      <c r="C6" s="110" t="str">
        <f t="shared" si="7"/>
        <v/>
      </c>
      <c r="D6" s="110" t="str">
        <f t="shared" si="8"/>
        <v/>
      </c>
      <c r="E6" s="124" t="str">
        <f t="shared" si="1"/>
        <v/>
      </c>
      <c r="F6" s="110" t="str">
        <f t="shared" si="2"/>
        <v/>
      </c>
      <c r="G6" s="125"/>
      <c r="H6" s="116" t="str">
        <f t="shared" si="3"/>
        <v/>
      </c>
      <c r="I6" s="126" t="str">
        <f t="shared" si="9"/>
        <v/>
      </c>
      <c r="J6" s="127">
        <f>if(B6&lt;&gt;"",J5*(1-Diretrizes!G$5),)</f>
        <v>0.04</v>
      </c>
      <c r="K6" s="116" t="str">
        <f t="shared" si="10"/>
        <v>NOK</v>
      </c>
      <c r="L6" s="185"/>
      <c r="M6" s="118"/>
      <c r="N6" s="118"/>
      <c r="O6" s="130"/>
      <c r="P6" s="131" t="s">
        <v>49</v>
      </c>
      <c r="Q6" s="132">
        <f>Q7+C3</f>
        <v>156.25</v>
      </c>
      <c r="R6" s="135"/>
      <c r="S6" s="104"/>
      <c r="T6" s="136"/>
      <c r="U6" s="104"/>
      <c r="V6" s="107" t="str">
        <f t="shared" si="4"/>
        <v/>
      </c>
      <c r="W6" s="107" t="str">
        <f t="shared" si="5"/>
        <v/>
      </c>
    </row>
    <row r="7" ht="18.0" customHeight="1">
      <c r="A7" s="93"/>
      <c r="B7" s="123">
        <f t="shared" si="6"/>
        <v>5</v>
      </c>
      <c r="C7" s="110" t="str">
        <f t="shared" si="7"/>
        <v/>
      </c>
      <c r="D7" s="110" t="str">
        <f t="shared" si="8"/>
        <v/>
      </c>
      <c r="E7" s="124" t="str">
        <f t="shared" si="1"/>
        <v/>
      </c>
      <c r="F7" s="110" t="str">
        <f t="shared" si="2"/>
        <v/>
      </c>
      <c r="G7" s="137"/>
      <c r="H7" s="116" t="str">
        <f t="shared" si="3"/>
        <v/>
      </c>
      <c r="I7" s="126" t="str">
        <f t="shared" si="9"/>
        <v/>
      </c>
      <c r="J7" s="127">
        <f>if(B7&lt;&gt;"",J6*(1-Diretrizes!G$5),)</f>
        <v>0.04</v>
      </c>
      <c r="K7" s="116" t="str">
        <f t="shared" si="10"/>
        <v>NOK</v>
      </c>
      <c r="L7" s="185"/>
      <c r="M7" s="118"/>
      <c r="N7" s="118"/>
      <c r="O7" s="130"/>
      <c r="P7" s="131" t="s">
        <v>50</v>
      </c>
      <c r="Q7" s="132">
        <f>SUM(G3:G32)</f>
        <v>0</v>
      </c>
      <c r="R7" s="135"/>
      <c r="S7" s="102" t="s">
        <v>51</v>
      </c>
      <c r="T7" s="138" t="str">
        <f>IF(G3=0,,Q6)</f>
        <v/>
      </c>
      <c r="U7" s="139"/>
      <c r="V7" s="107" t="str">
        <f t="shared" si="4"/>
        <v/>
      </c>
      <c r="W7" s="107" t="str">
        <f t="shared" si="5"/>
        <v/>
      </c>
    </row>
    <row r="8" ht="18.0" customHeight="1">
      <c r="A8" s="93"/>
      <c r="B8" s="123">
        <f t="shared" si="6"/>
        <v>6</v>
      </c>
      <c r="C8" s="110" t="str">
        <f t="shared" si="7"/>
        <v/>
      </c>
      <c r="D8" s="110" t="str">
        <f t="shared" si="8"/>
        <v/>
      </c>
      <c r="E8" s="124" t="str">
        <f t="shared" si="1"/>
        <v/>
      </c>
      <c r="F8" s="110" t="str">
        <f t="shared" si="2"/>
        <v/>
      </c>
      <c r="G8" s="137"/>
      <c r="H8" s="116" t="str">
        <f t="shared" si="3"/>
        <v/>
      </c>
      <c r="I8" s="126" t="str">
        <f t="shared" si="9"/>
        <v/>
      </c>
      <c r="J8" s="140">
        <f>if(B8&lt;&gt;"",J7*(1-Diretrizes!G$5),)</f>
        <v>0.04</v>
      </c>
      <c r="K8" s="116" t="str">
        <f t="shared" si="10"/>
        <v>NOK</v>
      </c>
      <c r="L8" s="185"/>
      <c r="M8" s="141"/>
      <c r="N8" s="141"/>
      <c r="O8" s="130"/>
      <c r="P8" s="142" t="s">
        <v>52</v>
      </c>
      <c r="Q8" s="143">
        <f>Q6/C3-1</f>
        <v>0</v>
      </c>
      <c r="R8" s="104"/>
      <c r="S8" s="104"/>
      <c r="T8" s="135"/>
      <c r="U8" s="135"/>
      <c r="V8" s="107" t="str">
        <f t="shared" si="4"/>
        <v/>
      </c>
      <c r="W8" s="107" t="str">
        <f t="shared" si="5"/>
        <v/>
      </c>
    </row>
    <row r="9" ht="18.0" customHeight="1">
      <c r="A9" s="93"/>
      <c r="B9" s="123">
        <f t="shared" si="6"/>
        <v>7</v>
      </c>
      <c r="C9" s="110" t="str">
        <f t="shared" si="7"/>
        <v/>
      </c>
      <c r="D9" s="110" t="str">
        <f t="shared" si="8"/>
        <v/>
      </c>
      <c r="E9" s="124" t="str">
        <f t="shared" si="1"/>
        <v/>
      </c>
      <c r="F9" s="110" t="str">
        <f t="shared" si="2"/>
        <v/>
      </c>
      <c r="G9" s="137"/>
      <c r="H9" s="116" t="str">
        <f t="shared" si="3"/>
        <v/>
      </c>
      <c r="I9" s="126" t="str">
        <f t="shared" si="9"/>
        <v/>
      </c>
      <c r="J9" s="127">
        <f>if(B9&lt;&gt;"",J8*(1-Diretrizes!G$5),)</f>
        <v>0.04</v>
      </c>
      <c r="K9" s="116" t="str">
        <f t="shared" si="10"/>
        <v>NOK</v>
      </c>
      <c r="L9" s="185"/>
      <c r="M9" s="141"/>
      <c r="N9" s="141"/>
      <c r="O9" s="130"/>
      <c r="P9" s="144"/>
      <c r="Q9" s="144"/>
      <c r="R9" s="104"/>
      <c r="S9" s="105"/>
      <c r="T9" s="122"/>
      <c r="U9" s="122"/>
      <c r="V9" s="107" t="str">
        <f t="shared" si="4"/>
        <v/>
      </c>
      <c r="W9" s="107" t="str">
        <f t="shared" si="5"/>
        <v/>
      </c>
    </row>
    <row r="10" ht="18.0" customHeight="1">
      <c r="A10" s="93"/>
      <c r="B10" s="123">
        <f t="shared" si="6"/>
        <v>8</v>
      </c>
      <c r="C10" s="110" t="str">
        <f t="shared" si="7"/>
        <v/>
      </c>
      <c r="D10" s="110" t="str">
        <f t="shared" si="8"/>
        <v/>
      </c>
      <c r="E10" s="124" t="str">
        <f t="shared" si="1"/>
        <v/>
      </c>
      <c r="F10" s="110" t="str">
        <f t="shared" si="2"/>
        <v/>
      </c>
      <c r="G10" s="137"/>
      <c r="H10" s="116" t="str">
        <f t="shared" si="3"/>
        <v/>
      </c>
      <c r="I10" s="126" t="str">
        <f t="shared" si="9"/>
        <v/>
      </c>
      <c r="J10" s="127">
        <f>if(B10&lt;&gt;"",J9*(1-Diretrizes!G$5),)</f>
        <v>0.04</v>
      </c>
      <c r="K10" s="116" t="str">
        <f t="shared" si="10"/>
        <v>NOK</v>
      </c>
      <c r="L10" s="185"/>
      <c r="M10" s="118"/>
      <c r="N10" s="141"/>
      <c r="O10" s="145"/>
      <c r="P10" s="131" t="s">
        <v>53</v>
      </c>
      <c r="Q10" s="132">
        <f>Diretrizes!G7</f>
        <v>234.375</v>
      </c>
      <c r="R10" s="146"/>
      <c r="S10" s="93"/>
      <c r="T10" s="147"/>
      <c r="U10" s="147"/>
      <c r="V10" s="107" t="str">
        <f t="shared" si="4"/>
        <v/>
      </c>
      <c r="W10" s="107" t="str">
        <f t="shared" si="5"/>
        <v/>
      </c>
    </row>
    <row r="11" ht="18.0" customHeight="1">
      <c r="A11" s="93"/>
      <c r="B11" s="123">
        <f t="shared" si="6"/>
        <v>9</v>
      </c>
      <c r="C11" s="110" t="str">
        <f t="shared" si="7"/>
        <v/>
      </c>
      <c r="D11" s="110" t="str">
        <f t="shared" si="8"/>
        <v/>
      </c>
      <c r="E11" s="124" t="str">
        <f t="shared" si="1"/>
        <v/>
      </c>
      <c r="F11" s="110" t="str">
        <f t="shared" si="2"/>
        <v/>
      </c>
      <c r="G11" s="137"/>
      <c r="H11" s="116" t="str">
        <f t="shared" si="3"/>
        <v/>
      </c>
      <c r="I11" s="126" t="str">
        <f t="shared" si="9"/>
        <v/>
      </c>
      <c r="J11" s="127">
        <f>if(B11&lt;&gt;"",J10*(1-Diretrizes!G$5),)</f>
        <v>0.04</v>
      </c>
      <c r="K11" s="116" t="str">
        <f t="shared" si="10"/>
        <v>NOK</v>
      </c>
      <c r="L11" s="185"/>
      <c r="M11" s="118"/>
      <c r="N11" s="118"/>
      <c r="O11" s="145"/>
      <c r="U11" s="147"/>
      <c r="V11" s="107" t="str">
        <f t="shared" si="4"/>
        <v/>
      </c>
      <c r="W11" s="107" t="str">
        <f t="shared" si="5"/>
        <v/>
      </c>
    </row>
    <row r="12" ht="18.0" customHeight="1">
      <c r="A12" s="93"/>
      <c r="B12" s="123">
        <f t="shared" si="6"/>
        <v>10</v>
      </c>
      <c r="C12" s="110" t="str">
        <f t="shared" si="7"/>
        <v/>
      </c>
      <c r="D12" s="110" t="str">
        <f t="shared" si="8"/>
        <v/>
      </c>
      <c r="E12" s="124" t="str">
        <f t="shared" si="1"/>
        <v/>
      </c>
      <c r="F12" s="110" t="str">
        <f t="shared" si="2"/>
        <v/>
      </c>
      <c r="G12" s="137"/>
      <c r="H12" s="116" t="str">
        <f t="shared" si="3"/>
        <v/>
      </c>
      <c r="I12" s="126" t="str">
        <f t="shared" si="9"/>
        <v/>
      </c>
      <c r="J12" s="127">
        <f>if(B12&lt;&gt;"",J11*(1-Diretrizes!G$5),)</f>
        <v>0.04</v>
      </c>
      <c r="K12" s="116" t="str">
        <f t="shared" si="10"/>
        <v>NOK</v>
      </c>
      <c r="L12" s="185"/>
      <c r="M12" s="118"/>
      <c r="N12" s="118"/>
      <c r="O12" s="148" t="s">
        <v>47</v>
      </c>
      <c r="P12" s="149" t="s">
        <v>54</v>
      </c>
      <c r="Q12" s="93"/>
      <c r="R12" s="93"/>
      <c r="S12" s="93"/>
      <c r="T12" s="147"/>
      <c r="U12" s="147"/>
      <c r="V12" s="107" t="str">
        <f t="shared" si="4"/>
        <v/>
      </c>
      <c r="W12" s="107" t="str">
        <f t="shared" si="5"/>
        <v/>
      </c>
    </row>
    <row r="13" ht="18.0" customHeight="1">
      <c r="A13" s="93"/>
      <c r="B13" s="123">
        <f t="shared" si="6"/>
        <v>11</v>
      </c>
      <c r="C13" s="110" t="str">
        <f t="shared" si="7"/>
        <v/>
      </c>
      <c r="D13" s="110" t="str">
        <f t="shared" si="8"/>
        <v/>
      </c>
      <c r="E13" s="124" t="str">
        <f t="shared" si="1"/>
        <v/>
      </c>
      <c r="F13" s="110" t="str">
        <f t="shared" si="2"/>
        <v/>
      </c>
      <c r="G13" s="137"/>
      <c r="H13" s="116" t="str">
        <f t="shared" si="3"/>
        <v/>
      </c>
      <c r="I13" s="126" t="str">
        <f t="shared" si="9"/>
        <v/>
      </c>
      <c r="J13" s="127">
        <f>if(B13&lt;&gt;"",J12*(1-Diretrizes!G$5),)</f>
        <v>0.04</v>
      </c>
      <c r="K13" s="116"/>
      <c r="L13" s="185"/>
      <c r="M13" s="150"/>
      <c r="N13" s="118"/>
      <c r="O13" s="151"/>
      <c r="P13" s="152" t="s">
        <v>24</v>
      </c>
      <c r="Q13" s="153" t="s">
        <v>26</v>
      </c>
      <c r="R13" s="153" t="s">
        <v>55</v>
      </c>
      <c r="S13" s="153" t="s">
        <v>27</v>
      </c>
      <c r="T13" s="154" t="s">
        <v>28</v>
      </c>
      <c r="U13" s="147"/>
      <c r="V13" s="107" t="str">
        <f t="shared" si="4"/>
        <v/>
      </c>
      <c r="W13" s="107" t="str">
        <f t="shared" si="5"/>
        <v/>
      </c>
    </row>
    <row r="14" ht="18.0" customHeight="1">
      <c r="A14" s="93"/>
      <c r="B14" s="123">
        <f t="shared" si="6"/>
        <v>12</v>
      </c>
      <c r="C14" s="110" t="str">
        <f t="shared" si="7"/>
        <v/>
      </c>
      <c r="D14" s="110" t="str">
        <f t="shared" si="8"/>
        <v/>
      </c>
      <c r="E14" s="124" t="str">
        <f t="shared" si="1"/>
        <v/>
      </c>
      <c r="F14" s="110" t="str">
        <f t="shared" si="2"/>
        <v/>
      </c>
      <c r="G14" s="137"/>
      <c r="H14" s="116" t="str">
        <f t="shared" si="3"/>
        <v/>
      </c>
      <c r="I14" s="126" t="str">
        <f t="shared" si="9"/>
        <v/>
      </c>
      <c r="J14" s="127">
        <f>if(B14&lt;&gt;"",J13*(1-Diretrizes!G$5),)</f>
        <v>0.04</v>
      </c>
      <c r="K14" s="116"/>
      <c r="L14" s="185"/>
      <c r="M14" s="150"/>
      <c r="N14" s="118"/>
      <c r="O14" s="148"/>
      <c r="P14" s="155" t="str">
        <f t="array" ref="P14">sort(unique(M3:M122))</f>
        <v/>
      </c>
      <c r="Q14" s="156" t="str">
        <f t="shared" ref="Q14:Q24" si="11">if(P14="","", sumif(M$3:M122,P14,G$3:G122))</f>
        <v/>
      </c>
      <c r="R14" s="157" t="str">
        <f t="shared" ref="R14:R24" si="12">if(P14="","", countif(M$3:M122,P14))</f>
        <v/>
      </c>
      <c r="S14" s="158" t="str">
        <f t="shared" ref="S14:S24" si="13">if(P14="","", averageif(M$3:M122,P14,H$3:H122))</f>
        <v/>
      </c>
      <c r="T14" s="158" t="str">
        <f t="shared" ref="T14:T24" si="14">if(P14="","",Q14/sum($G$3:$G122))</f>
        <v/>
      </c>
      <c r="U14" s="147"/>
      <c r="V14" s="107" t="str">
        <f t="shared" si="4"/>
        <v/>
      </c>
      <c r="W14" s="107" t="str">
        <f t="shared" si="5"/>
        <v/>
      </c>
    </row>
    <row r="15" ht="18.0" customHeight="1">
      <c r="A15" s="93"/>
      <c r="B15" s="123" t="str">
        <f t="shared" si="6"/>
        <v/>
      </c>
      <c r="C15" s="110" t="str">
        <f t="shared" si="7"/>
        <v/>
      </c>
      <c r="D15" s="110" t="str">
        <f t="shared" si="8"/>
        <v/>
      </c>
      <c r="E15" s="124" t="str">
        <f t="shared" si="1"/>
        <v/>
      </c>
      <c r="F15" s="110" t="str">
        <f t="shared" si="2"/>
        <v/>
      </c>
      <c r="G15" s="137"/>
      <c r="H15" s="116" t="str">
        <f t="shared" si="3"/>
        <v/>
      </c>
      <c r="I15" s="126" t="str">
        <f t="shared" si="9"/>
        <v/>
      </c>
      <c r="J15" s="127" t="str">
        <f>if(B15&lt;&gt;"",J14*(1-Diretrizes!G$5),)</f>
        <v/>
      </c>
      <c r="K15" s="116"/>
      <c r="L15" s="185"/>
      <c r="M15" s="150"/>
      <c r="N15" s="118"/>
      <c r="O15" s="148"/>
      <c r="P15" s="155"/>
      <c r="Q15" s="156" t="str">
        <f t="shared" si="11"/>
        <v/>
      </c>
      <c r="R15" s="157" t="str">
        <f t="shared" si="12"/>
        <v/>
      </c>
      <c r="S15" s="158" t="str">
        <f t="shared" si="13"/>
        <v/>
      </c>
      <c r="T15" s="158" t="str">
        <f t="shared" si="14"/>
        <v/>
      </c>
      <c r="U15" s="147"/>
      <c r="V15" s="107" t="str">
        <f t="shared" si="4"/>
        <v/>
      </c>
      <c r="W15" s="107" t="str">
        <f t="shared" si="5"/>
        <v/>
      </c>
    </row>
    <row r="16" ht="18.0" customHeight="1">
      <c r="A16" s="93"/>
      <c r="B16" s="123" t="str">
        <f t="shared" si="6"/>
        <v/>
      </c>
      <c r="C16" s="110" t="str">
        <f t="shared" si="7"/>
        <v/>
      </c>
      <c r="D16" s="110" t="str">
        <f t="shared" si="8"/>
        <v/>
      </c>
      <c r="E16" s="124" t="str">
        <f t="shared" si="1"/>
        <v/>
      </c>
      <c r="F16" s="110" t="str">
        <f t="shared" si="2"/>
        <v/>
      </c>
      <c r="G16" s="137"/>
      <c r="H16" s="116" t="str">
        <f t="shared" si="3"/>
        <v/>
      </c>
      <c r="I16" s="126" t="str">
        <f t="shared" si="9"/>
        <v/>
      </c>
      <c r="J16" s="127" t="str">
        <f>if(B16&lt;&gt;"",J15*(1-Diretrizes!G$5),)</f>
        <v/>
      </c>
      <c r="K16" s="116"/>
      <c r="L16" s="185"/>
      <c r="M16" s="150"/>
      <c r="N16" s="118"/>
      <c r="O16" s="148"/>
      <c r="P16" s="155"/>
      <c r="Q16" s="156" t="str">
        <f t="shared" si="11"/>
        <v/>
      </c>
      <c r="R16" s="157" t="str">
        <f t="shared" si="12"/>
        <v/>
      </c>
      <c r="S16" s="158" t="str">
        <f t="shared" si="13"/>
        <v/>
      </c>
      <c r="T16" s="158" t="str">
        <f t="shared" si="14"/>
        <v/>
      </c>
      <c r="U16" s="147"/>
      <c r="V16" s="107" t="str">
        <f t="shared" si="4"/>
        <v/>
      </c>
      <c r="W16" s="107" t="str">
        <f t="shared" si="5"/>
        <v/>
      </c>
    </row>
    <row r="17" ht="18.0" customHeight="1">
      <c r="A17" s="93"/>
      <c r="B17" s="123" t="str">
        <f t="shared" si="6"/>
        <v/>
      </c>
      <c r="C17" s="110" t="str">
        <f t="shared" si="7"/>
        <v/>
      </c>
      <c r="D17" s="110" t="str">
        <f t="shared" si="8"/>
        <v/>
      </c>
      <c r="E17" s="124" t="str">
        <f t="shared" si="1"/>
        <v/>
      </c>
      <c r="F17" s="110" t="str">
        <f t="shared" si="2"/>
        <v/>
      </c>
      <c r="G17" s="137"/>
      <c r="H17" s="116" t="str">
        <f t="shared" si="3"/>
        <v/>
      </c>
      <c r="I17" s="126" t="str">
        <f t="shared" si="9"/>
        <v/>
      </c>
      <c r="J17" s="127" t="str">
        <f>if(B17&lt;&gt;"",J16*(1-Diretrizes!G$5),)</f>
        <v/>
      </c>
      <c r="K17" s="116"/>
      <c r="L17" s="185"/>
      <c r="M17" s="150"/>
      <c r="N17" s="118"/>
      <c r="O17" s="148"/>
      <c r="P17" s="155"/>
      <c r="Q17" s="156" t="str">
        <f t="shared" si="11"/>
        <v/>
      </c>
      <c r="R17" s="157" t="str">
        <f t="shared" si="12"/>
        <v/>
      </c>
      <c r="S17" s="158" t="str">
        <f t="shared" si="13"/>
        <v/>
      </c>
      <c r="T17" s="158" t="str">
        <f t="shared" si="14"/>
        <v/>
      </c>
      <c r="U17" s="147"/>
      <c r="V17" s="107" t="str">
        <f t="shared" si="4"/>
        <v/>
      </c>
      <c r="W17" s="107" t="str">
        <f t="shared" si="5"/>
        <v/>
      </c>
    </row>
    <row r="18" ht="18.0" customHeight="1">
      <c r="A18" s="93"/>
      <c r="B18" s="123" t="str">
        <f t="shared" si="6"/>
        <v/>
      </c>
      <c r="C18" s="110" t="str">
        <f t="shared" si="7"/>
        <v/>
      </c>
      <c r="D18" s="110" t="str">
        <f t="shared" si="8"/>
        <v/>
      </c>
      <c r="E18" s="124" t="str">
        <f t="shared" si="1"/>
        <v/>
      </c>
      <c r="F18" s="110" t="str">
        <f t="shared" si="2"/>
        <v/>
      </c>
      <c r="G18" s="137"/>
      <c r="H18" s="116" t="str">
        <f t="shared" si="3"/>
        <v/>
      </c>
      <c r="I18" s="126" t="str">
        <f t="shared" si="9"/>
        <v/>
      </c>
      <c r="J18" s="127" t="str">
        <f>if(B18&lt;&gt;"",J17*(1-Diretrizes!G$5),)</f>
        <v/>
      </c>
      <c r="K18" s="116"/>
      <c r="L18" s="185"/>
      <c r="M18" s="150"/>
      <c r="N18" s="118"/>
      <c r="O18" s="159"/>
      <c r="P18" s="155"/>
      <c r="Q18" s="156" t="str">
        <f t="shared" si="11"/>
        <v/>
      </c>
      <c r="R18" s="157" t="str">
        <f t="shared" si="12"/>
        <v/>
      </c>
      <c r="S18" s="158" t="str">
        <f t="shared" si="13"/>
        <v/>
      </c>
      <c r="T18" s="158" t="str">
        <f t="shared" si="14"/>
        <v/>
      </c>
      <c r="U18" s="160"/>
      <c r="V18" s="107" t="str">
        <f t="shared" si="4"/>
        <v/>
      </c>
      <c r="W18" s="107" t="str">
        <f t="shared" si="5"/>
        <v/>
      </c>
    </row>
    <row r="19" ht="18.0" customHeight="1">
      <c r="A19" s="93"/>
      <c r="B19" s="123" t="str">
        <f t="shared" si="6"/>
        <v/>
      </c>
      <c r="C19" s="110" t="str">
        <f t="shared" si="7"/>
        <v/>
      </c>
      <c r="D19" s="110" t="str">
        <f t="shared" si="8"/>
        <v/>
      </c>
      <c r="E19" s="124" t="str">
        <f t="shared" si="1"/>
        <v/>
      </c>
      <c r="F19" s="110" t="str">
        <f t="shared" si="2"/>
        <v/>
      </c>
      <c r="G19" s="137"/>
      <c r="H19" s="116" t="str">
        <f t="shared" si="3"/>
        <v/>
      </c>
      <c r="I19" s="126" t="str">
        <f t="shared" si="9"/>
        <v/>
      </c>
      <c r="J19" s="127" t="str">
        <f>if(B19&lt;&gt;"",J18*(1-Diretrizes!G$5),)</f>
        <v/>
      </c>
      <c r="K19" s="116"/>
      <c r="L19" s="185"/>
      <c r="M19" s="150"/>
      <c r="N19" s="118"/>
      <c r="O19" s="148"/>
      <c r="P19" s="155"/>
      <c r="Q19" s="156" t="str">
        <f t="shared" si="11"/>
        <v/>
      </c>
      <c r="R19" s="157" t="str">
        <f t="shared" si="12"/>
        <v/>
      </c>
      <c r="S19" s="158" t="str">
        <f t="shared" si="13"/>
        <v/>
      </c>
      <c r="T19" s="158" t="str">
        <f t="shared" si="14"/>
        <v/>
      </c>
      <c r="U19" s="147"/>
      <c r="V19" s="107" t="str">
        <f t="shared" si="4"/>
        <v/>
      </c>
      <c r="W19" s="107" t="str">
        <f t="shared" si="5"/>
        <v/>
      </c>
    </row>
    <row r="20" ht="18.0" customHeight="1">
      <c r="A20" s="93"/>
      <c r="B20" s="123" t="str">
        <f t="shared" si="6"/>
        <v/>
      </c>
      <c r="C20" s="110" t="str">
        <f t="shared" si="7"/>
        <v/>
      </c>
      <c r="D20" s="110" t="str">
        <f t="shared" si="8"/>
        <v/>
      </c>
      <c r="E20" s="124" t="str">
        <f t="shared" si="1"/>
        <v/>
      </c>
      <c r="F20" s="110" t="str">
        <f t="shared" si="2"/>
        <v/>
      </c>
      <c r="G20" s="137"/>
      <c r="H20" s="116" t="str">
        <f t="shared" si="3"/>
        <v/>
      </c>
      <c r="I20" s="126" t="str">
        <f t="shared" si="9"/>
        <v/>
      </c>
      <c r="J20" s="127" t="str">
        <f>if(B20&lt;&gt;"",J19*(1-Diretrizes!G$5),)</f>
        <v/>
      </c>
      <c r="K20" s="116"/>
      <c r="L20" s="185"/>
      <c r="M20" s="150"/>
      <c r="N20" s="118"/>
      <c r="O20" s="148"/>
      <c r="P20" s="155"/>
      <c r="Q20" s="156" t="str">
        <f t="shared" si="11"/>
        <v/>
      </c>
      <c r="R20" s="157" t="str">
        <f t="shared" si="12"/>
        <v/>
      </c>
      <c r="S20" s="158" t="str">
        <f t="shared" si="13"/>
        <v/>
      </c>
      <c r="T20" s="158" t="str">
        <f t="shared" si="14"/>
        <v/>
      </c>
      <c r="U20" s="147"/>
      <c r="V20" s="107" t="str">
        <f t="shared" si="4"/>
        <v/>
      </c>
      <c r="W20" s="107" t="str">
        <f t="shared" si="5"/>
        <v/>
      </c>
    </row>
    <row r="21" ht="18.0" customHeight="1">
      <c r="A21" s="93"/>
      <c r="B21" s="123" t="str">
        <f t="shared" si="6"/>
        <v/>
      </c>
      <c r="C21" s="110" t="str">
        <f t="shared" si="7"/>
        <v/>
      </c>
      <c r="D21" s="110" t="str">
        <f t="shared" si="8"/>
        <v/>
      </c>
      <c r="E21" s="124" t="str">
        <f t="shared" si="1"/>
        <v/>
      </c>
      <c r="F21" s="110" t="str">
        <f t="shared" si="2"/>
        <v/>
      </c>
      <c r="G21" s="137"/>
      <c r="H21" s="116" t="str">
        <f t="shared" si="3"/>
        <v/>
      </c>
      <c r="I21" s="126" t="str">
        <f t="shared" si="9"/>
        <v/>
      </c>
      <c r="J21" s="127" t="str">
        <f>if(B21&lt;&gt;"",J20*(1-Diretrizes!G$5),)</f>
        <v/>
      </c>
      <c r="K21" s="116"/>
      <c r="L21" s="185"/>
      <c r="M21" s="150"/>
      <c r="N21" s="118"/>
      <c r="O21" s="148"/>
      <c r="P21" s="155"/>
      <c r="Q21" s="156" t="str">
        <f t="shared" si="11"/>
        <v/>
      </c>
      <c r="R21" s="157" t="str">
        <f t="shared" si="12"/>
        <v/>
      </c>
      <c r="S21" s="158" t="str">
        <f t="shared" si="13"/>
        <v/>
      </c>
      <c r="T21" s="158" t="str">
        <f t="shared" si="14"/>
        <v/>
      </c>
      <c r="U21" s="147"/>
      <c r="V21" s="107" t="str">
        <f t="shared" si="4"/>
        <v/>
      </c>
      <c r="W21" s="107" t="str">
        <f t="shared" si="5"/>
        <v/>
      </c>
    </row>
    <row r="22" ht="18.0" customHeight="1">
      <c r="A22" s="93"/>
      <c r="B22" s="123" t="str">
        <f t="shared" si="6"/>
        <v/>
      </c>
      <c r="C22" s="110" t="str">
        <f t="shared" si="7"/>
        <v/>
      </c>
      <c r="D22" s="110" t="str">
        <f t="shared" si="8"/>
        <v/>
      </c>
      <c r="E22" s="124" t="str">
        <f t="shared" si="1"/>
        <v/>
      </c>
      <c r="F22" s="110" t="str">
        <f t="shared" si="2"/>
        <v/>
      </c>
      <c r="G22" s="137"/>
      <c r="H22" s="116" t="str">
        <f t="shared" si="3"/>
        <v/>
      </c>
      <c r="I22" s="126" t="str">
        <f t="shared" si="9"/>
        <v/>
      </c>
      <c r="J22" s="127" t="str">
        <f>if(B22&lt;&gt;"",J21*(1-Diretrizes!G$5),)</f>
        <v/>
      </c>
      <c r="K22" s="116"/>
      <c r="L22" s="185"/>
      <c r="M22" s="150"/>
      <c r="N22" s="118"/>
      <c r="O22" s="148"/>
      <c r="P22" s="155"/>
      <c r="Q22" s="156" t="str">
        <f t="shared" si="11"/>
        <v/>
      </c>
      <c r="R22" s="157" t="str">
        <f t="shared" si="12"/>
        <v/>
      </c>
      <c r="S22" s="158" t="str">
        <f t="shared" si="13"/>
        <v/>
      </c>
      <c r="T22" s="158" t="str">
        <f t="shared" si="14"/>
        <v/>
      </c>
      <c r="U22" s="147"/>
      <c r="V22" s="107" t="str">
        <f t="shared" si="4"/>
        <v/>
      </c>
      <c r="W22" s="107" t="str">
        <f t="shared" si="5"/>
        <v/>
      </c>
    </row>
    <row r="23" ht="18.0" customHeight="1">
      <c r="A23" s="93"/>
      <c r="B23" s="123" t="str">
        <f t="shared" si="6"/>
        <v/>
      </c>
      <c r="C23" s="110" t="str">
        <f t="shared" si="7"/>
        <v/>
      </c>
      <c r="D23" s="110" t="str">
        <f t="shared" si="8"/>
        <v/>
      </c>
      <c r="E23" s="124" t="str">
        <f t="shared" si="1"/>
        <v/>
      </c>
      <c r="F23" s="110" t="str">
        <f t="shared" si="2"/>
        <v/>
      </c>
      <c r="G23" s="137"/>
      <c r="H23" s="116" t="str">
        <f t="shared" si="3"/>
        <v/>
      </c>
      <c r="I23" s="126" t="str">
        <f t="shared" si="9"/>
        <v/>
      </c>
      <c r="J23" s="127" t="str">
        <f>if(B23&lt;&gt;"",J22*(1-Diretrizes!G$5),)</f>
        <v/>
      </c>
      <c r="K23" s="116"/>
      <c r="L23" s="185"/>
      <c r="M23" s="150"/>
      <c r="N23" s="118"/>
      <c r="O23" s="148"/>
      <c r="P23" s="155"/>
      <c r="Q23" s="156" t="str">
        <f t="shared" si="11"/>
        <v/>
      </c>
      <c r="R23" s="157" t="str">
        <f t="shared" si="12"/>
        <v/>
      </c>
      <c r="S23" s="158" t="str">
        <f t="shared" si="13"/>
        <v/>
      </c>
      <c r="T23" s="158" t="str">
        <f t="shared" si="14"/>
        <v/>
      </c>
      <c r="U23" s="147"/>
      <c r="V23" s="107" t="str">
        <f t="shared" si="4"/>
        <v/>
      </c>
      <c r="W23" s="107" t="str">
        <f t="shared" si="5"/>
        <v/>
      </c>
    </row>
    <row r="24" ht="18.0" customHeight="1">
      <c r="A24" s="93"/>
      <c r="B24" s="123" t="str">
        <f t="shared" si="6"/>
        <v/>
      </c>
      <c r="C24" s="110" t="str">
        <f t="shared" si="7"/>
        <v/>
      </c>
      <c r="D24" s="110" t="str">
        <f t="shared" si="8"/>
        <v/>
      </c>
      <c r="E24" s="124" t="str">
        <f t="shared" si="1"/>
        <v/>
      </c>
      <c r="F24" s="110" t="str">
        <f t="shared" si="2"/>
        <v/>
      </c>
      <c r="G24" s="137"/>
      <c r="H24" s="116" t="str">
        <f t="shared" si="3"/>
        <v/>
      </c>
      <c r="I24" s="126" t="str">
        <f t="shared" si="9"/>
        <v/>
      </c>
      <c r="J24" s="127" t="str">
        <f>if(B24&lt;&gt;"",J23*(1-Diretrizes!G$5),)</f>
        <v/>
      </c>
      <c r="K24" s="116"/>
      <c r="L24" s="185"/>
      <c r="M24" s="150"/>
      <c r="N24" s="118"/>
      <c r="O24" s="148"/>
      <c r="P24" s="161"/>
      <c r="Q24" s="161" t="str">
        <f t="shared" si="11"/>
        <v/>
      </c>
      <c r="R24" s="161" t="str">
        <f t="shared" si="12"/>
        <v/>
      </c>
      <c r="S24" s="161" t="str">
        <f t="shared" si="13"/>
        <v/>
      </c>
      <c r="T24" s="161" t="str">
        <f t="shared" si="14"/>
        <v/>
      </c>
      <c r="U24" s="147"/>
      <c r="V24" s="107" t="str">
        <f t="shared" si="4"/>
        <v/>
      </c>
      <c r="W24" s="107" t="str">
        <f t="shared" si="5"/>
        <v/>
      </c>
    </row>
    <row r="25" ht="18.0" customHeight="1">
      <c r="A25" s="93"/>
      <c r="B25" s="123" t="str">
        <f t="shared" si="6"/>
        <v/>
      </c>
      <c r="C25" s="110" t="str">
        <f t="shared" si="7"/>
        <v/>
      </c>
      <c r="D25" s="110" t="str">
        <f t="shared" si="8"/>
        <v/>
      </c>
      <c r="E25" s="124" t="str">
        <f t="shared" si="1"/>
        <v/>
      </c>
      <c r="F25" s="110" t="str">
        <f t="shared" si="2"/>
        <v/>
      </c>
      <c r="G25" s="137"/>
      <c r="H25" s="116" t="str">
        <f t="shared" si="3"/>
        <v/>
      </c>
      <c r="I25" s="126" t="str">
        <f t="shared" si="9"/>
        <v/>
      </c>
      <c r="J25" s="127" t="str">
        <f>if(B25&lt;&gt;"",J24*(1-Diretrizes!G$5),)</f>
        <v/>
      </c>
      <c r="K25" s="116"/>
      <c r="L25" s="185"/>
      <c r="M25" s="150"/>
      <c r="N25" s="118"/>
      <c r="O25" s="148"/>
      <c r="P25" s="149" t="s">
        <v>56</v>
      </c>
      <c r="Q25" s="147"/>
      <c r="R25" s="93"/>
      <c r="S25" s="93"/>
      <c r="T25" s="147"/>
      <c r="U25" s="147"/>
      <c r="V25" s="107" t="str">
        <f t="shared" si="4"/>
        <v/>
      </c>
      <c r="W25" s="107" t="str">
        <f t="shared" si="5"/>
        <v/>
      </c>
    </row>
    <row r="26" ht="18.0" customHeight="1">
      <c r="A26" s="93"/>
      <c r="B26" s="123" t="str">
        <f t="shared" si="6"/>
        <v/>
      </c>
      <c r="C26" s="110" t="str">
        <f t="shared" si="7"/>
        <v/>
      </c>
      <c r="D26" s="110" t="str">
        <f t="shared" si="8"/>
        <v/>
      </c>
      <c r="E26" s="124" t="str">
        <f t="shared" si="1"/>
        <v/>
      </c>
      <c r="F26" s="110" t="str">
        <f t="shared" si="2"/>
        <v/>
      </c>
      <c r="G26" s="137"/>
      <c r="H26" s="116" t="str">
        <f t="shared" si="3"/>
        <v/>
      </c>
      <c r="I26" s="126" t="str">
        <f t="shared" si="9"/>
        <v/>
      </c>
      <c r="J26" s="127" t="str">
        <f>if(B26&lt;&gt;"",J25*(1-Diretrizes!G$5),)</f>
        <v/>
      </c>
      <c r="K26" s="116"/>
      <c r="L26" s="185"/>
      <c r="M26" s="150"/>
      <c r="N26" s="118"/>
      <c r="O26" s="148"/>
      <c r="P26" s="152" t="s">
        <v>24</v>
      </c>
      <c r="Q26" s="153" t="s">
        <v>26</v>
      </c>
      <c r="R26" s="153" t="s">
        <v>55</v>
      </c>
      <c r="S26" s="153" t="s">
        <v>27</v>
      </c>
      <c r="T26" s="154" t="s">
        <v>28</v>
      </c>
      <c r="U26" s="147"/>
      <c r="V26" s="107" t="str">
        <f t="shared" si="4"/>
        <v/>
      </c>
      <c r="W26" s="107" t="str">
        <f t="shared" si="5"/>
        <v/>
      </c>
    </row>
    <row r="27" ht="18.0" customHeight="1">
      <c r="A27" s="93"/>
      <c r="B27" s="123" t="str">
        <f t="shared" si="6"/>
        <v/>
      </c>
      <c r="C27" s="110" t="str">
        <f t="shared" si="7"/>
        <v/>
      </c>
      <c r="D27" s="110" t="str">
        <f t="shared" si="8"/>
        <v/>
      </c>
      <c r="E27" s="124" t="str">
        <f t="shared" si="1"/>
        <v/>
      </c>
      <c r="F27" s="110" t="str">
        <f t="shared" si="2"/>
        <v/>
      </c>
      <c r="G27" s="137"/>
      <c r="H27" s="116" t="str">
        <f t="shared" si="3"/>
        <v/>
      </c>
      <c r="I27" s="126" t="str">
        <f t="shared" si="9"/>
        <v/>
      </c>
      <c r="J27" s="127" t="str">
        <f>if(B27&lt;&gt;"",J26*(1-Diretrizes!G$5),)</f>
        <v/>
      </c>
      <c r="K27" s="116"/>
      <c r="L27" s="185"/>
      <c r="M27" s="150"/>
      <c r="N27" s="118"/>
      <c r="O27" s="148"/>
      <c r="P27" s="155" t="str">
        <f t="array" ref="P27">sort(unique(N3:N122))</f>
        <v/>
      </c>
      <c r="Q27" s="156" t="str">
        <f t="shared" ref="Q27:Q36" si="15">if(P27="","", sumif(N$3:N122,P27,G$3:G122))</f>
        <v/>
      </c>
      <c r="R27" s="157" t="str">
        <f t="shared" ref="R27:R36" si="16">if(P27="","", countif(N$3:N122,P27))</f>
        <v/>
      </c>
      <c r="S27" s="158" t="str">
        <f t="shared" ref="S27:S36" si="17">if(P27="","", averageif(N$3:N122,P27,H$3:H122))</f>
        <v/>
      </c>
      <c r="T27" s="158" t="str">
        <f t="shared" ref="T27:T36" si="18">if(P27="","",Q27/sum($Q$27:$Q$36))</f>
        <v/>
      </c>
      <c r="U27" s="147"/>
      <c r="V27" s="107" t="str">
        <f t="shared" si="4"/>
        <v/>
      </c>
      <c r="W27" s="107" t="str">
        <f t="shared" si="5"/>
        <v/>
      </c>
    </row>
    <row r="28" ht="18.0" customHeight="1">
      <c r="A28" s="93"/>
      <c r="B28" s="123" t="str">
        <f t="shared" si="6"/>
        <v/>
      </c>
      <c r="C28" s="110" t="str">
        <f t="shared" si="7"/>
        <v/>
      </c>
      <c r="D28" s="110" t="str">
        <f t="shared" si="8"/>
        <v/>
      </c>
      <c r="E28" s="124" t="str">
        <f t="shared" si="1"/>
        <v/>
      </c>
      <c r="F28" s="110" t="str">
        <f t="shared" si="2"/>
        <v/>
      </c>
      <c r="G28" s="137"/>
      <c r="H28" s="116" t="str">
        <f t="shared" si="3"/>
        <v/>
      </c>
      <c r="I28" s="126" t="str">
        <f t="shared" si="9"/>
        <v/>
      </c>
      <c r="J28" s="127" t="str">
        <f>if(B28&lt;&gt;"",J27*(1-Diretrizes!G$5),)</f>
        <v/>
      </c>
      <c r="K28" s="116"/>
      <c r="L28" s="185"/>
      <c r="M28" s="150"/>
      <c r="N28" s="118"/>
      <c r="O28" s="148"/>
      <c r="P28" s="155"/>
      <c r="Q28" s="156" t="str">
        <f t="shared" si="15"/>
        <v/>
      </c>
      <c r="R28" s="157" t="str">
        <f t="shared" si="16"/>
        <v/>
      </c>
      <c r="S28" s="158" t="str">
        <f t="shared" si="17"/>
        <v/>
      </c>
      <c r="T28" s="158" t="str">
        <f t="shared" si="18"/>
        <v/>
      </c>
      <c r="U28" s="147"/>
      <c r="V28" s="107" t="str">
        <f t="shared" si="4"/>
        <v/>
      </c>
      <c r="W28" s="107" t="str">
        <f t="shared" si="5"/>
        <v/>
      </c>
    </row>
    <row r="29" ht="18.0" customHeight="1">
      <c r="A29" s="93"/>
      <c r="B29" s="123" t="str">
        <f t="shared" si="6"/>
        <v/>
      </c>
      <c r="C29" s="110" t="str">
        <f t="shared" si="7"/>
        <v/>
      </c>
      <c r="D29" s="110" t="str">
        <f t="shared" si="8"/>
        <v/>
      </c>
      <c r="E29" s="124" t="str">
        <f t="shared" si="1"/>
        <v/>
      </c>
      <c r="F29" s="110" t="str">
        <f t="shared" si="2"/>
        <v/>
      </c>
      <c r="G29" s="137"/>
      <c r="H29" s="116" t="str">
        <f t="shared" si="3"/>
        <v/>
      </c>
      <c r="I29" s="126" t="str">
        <f t="shared" si="9"/>
        <v/>
      </c>
      <c r="J29" s="127" t="str">
        <f>if(B29&lt;&gt;"",J28*(1-Diretrizes!G$5),)</f>
        <v/>
      </c>
      <c r="K29" s="116"/>
      <c r="L29" s="185"/>
      <c r="M29" s="150"/>
      <c r="N29" s="118"/>
      <c r="O29" s="148"/>
      <c r="P29" s="155"/>
      <c r="Q29" s="156" t="str">
        <f t="shared" si="15"/>
        <v/>
      </c>
      <c r="R29" s="157" t="str">
        <f t="shared" si="16"/>
        <v/>
      </c>
      <c r="S29" s="158" t="str">
        <f t="shared" si="17"/>
        <v/>
      </c>
      <c r="T29" s="158" t="str">
        <f t="shared" si="18"/>
        <v/>
      </c>
      <c r="U29" s="147"/>
      <c r="V29" s="107" t="str">
        <f t="shared" si="4"/>
        <v/>
      </c>
      <c r="W29" s="107" t="str">
        <f t="shared" si="5"/>
        <v/>
      </c>
    </row>
    <row r="30" ht="18.0" customHeight="1">
      <c r="A30" s="93"/>
      <c r="B30" s="123" t="str">
        <f t="shared" si="6"/>
        <v/>
      </c>
      <c r="C30" s="110" t="str">
        <f t="shared" si="7"/>
        <v/>
      </c>
      <c r="D30" s="110" t="str">
        <f t="shared" si="8"/>
        <v/>
      </c>
      <c r="E30" s="124" t="str">
        <f t="shared" si="1"/>
        <v/>
      </c>
      <c r="F30" s="110" t="str">
        <f t="shared" si="2"/>
        <v/>
      </c>
      <c r="G30" s="137"/>
      <c r="H30" s="116" t="str">
        <f t="shared" si="3"/>
        <v/>
      </c>
      <c r="I30" s="126" t="str">
        <f t="shared" si="9"/>
        <v/>
      </c>
      <c r="J30" s="127" t="str">
        <f>if(B30&lt;&gt;"",J29*(1-Diretrizes!G$5),)</f>
        <v/>
      </c>
      <c r="K30" s="116"/>
      <c r="L30" s="185"/>
      <c r="M30" s="150"/>
      <c r="N30" s="118"/>
      <c r="O30" s="148"/>
      <c r="P30" s="155"/>
      <c r="Q30" s="156" t="str">
        <f t="shared" si="15"/>
        <v/>
      </c>
      <c r="R30" s="157" t="str">
        <f t="shared" si="16"/>
        <v/>
      </c>
      <c r="S30" s="158" t="str">
        <f t="shared" si="17"/>
        <v/>
      </c>
      <c r="T30" s="158" t="str">
        <f t="shared" si="18"/>
        <v/>
      </c>
      <c r="U30" s="147"/>
      <c r="V30" s="107" t="str">
        <f t="shared" si="4"/>
        <v/>
      </c>
      <c r="W30" s="107" t="str">
        <f t="shared" si="5"/>
        <v/>
      </c>
    </row>
    <row r="31" ht="18.0" customHeight="1">
      <c r="A31" s="93"/>
      <c r="B31" s="123" t="str">
        <f t="shared" si="6"/>
        <v/>
      </c>
      <c r="C31" s="110" t="str">
        <f t="shared" si="7"/>
        <v/>
      </c>
      <c r="D31" s="110" t="str">
        <f t="shared" si="8"/>
        <v/>
      </c>
      <c r="E31" s="124" t="str">
        <f t="shared" si="1"/>
        <v/>
      </c>
      <c r="F31" s="110" t="str">
        <f t="shared" si="2"/>
        <v/>
      </c>
      <c r="G31" s="137"/>
      <c r="H31" s="116" t="str">
        <f t="shared" si="3"/>
        <v/>
      </c>
      <c r="I31" s="126" t="str">
        <f t="shared" si="9"/>
        <v/>
      </c>
      <c r="J31" s="127" t="str">
        <f>if(B31&lt;&gt;"",J30*(1-Diretrizes!G$5),)</f>
        <v/>
      </c>
      <c r="K31" s="116"/>
      <c r="L31" s="185"/>
      <c r="M31" s="150"/>
      <c r="N31" s="118"/>
      <c r="O31" s="148"/>
      <c r="P31" s="155"/>
      <c r="Q31" s="156" t="str">
        <f t="shared" si="15"/>
        <v/>
      </c>
      <c r="R31" s="157" t="str">
        <f t="shared" si="16"/>
        <v/>
      </c>
      <c r="S31" s="158" t="str">
        <f t="shared" si="17"/>
        <v/>
      </c>
      <c r="T31" s="158" t="str">
        <f t="shared" si="18"/>
        <v/>
      </c>
      <c r="U31" s="147"/>
      <c r="V31" s="107" t="str">
        <f t="shared" si="4"/>
        <v/>
      </c>
      <c r="W31" s="107" t="str">
        <f t="shared" si="5"/>
        <v/>
      </c>
    </row>
    <row r="32" ht="18.0" customHeight="1">
      <c r="A32" s="93"/>
      <c r="B32" s="123" t="str">
        <f t="shared" si="6"/>
        <v/>
      </c>
      <c r="C32" s="110" t="str">
        <f t="shared" si="7"/>
        <v/>
      </c>
      <c r="D32" s="110" t="str">
        <f t="shared" si="8"/>
        <v/>
      </c>
      <c r="E32" s="124" t="str">
        <f t="shared" si="1"/>
        <v/>
      </c>
      <c r="F32" s="110" t="str">
        <f t="shared" si="2"/>
        <v/>
      </c>
      <c r="G32" s="137"/>
      <c r="H32" s="116" t="str">
        <f t="shared" si="3"/>
        <v/>
      </c>
      <c r="I32" s="126" t="str">
        <f t="shared" si="9"/>
        <v/>
      </c>
      <c r="J32" s="127" t="str">
        <f>if(B32&lt;&gt;"",J31*(1-Diretrizes!G$5),)</f>
        <v/>
      </c>
      <c r="K32" s="116"/>
      <c r="L32" s="185"/>
      <c r="M32" s="150"/>
      <c r="N32" s="118"/>
      <c r="O32" s="148"/>
      <c r="P32" s="155"/>
      <c r="Q32" s="156" t="str">
        <f t="shared" si="15"/>
        <v/>
      </c>
      <c r="R32" s="157" t="str">
        <f t="shared" si="16"/>
        <v/>
      </c>
      <c r="S32" s="158" t="str">
        <f t="shared" si="17"/>
        <v/>
      </c>
      <c r="T32" s="158" t="str">
        <f t="shared" si="18"/>
        <v/>
      </c>
      <c r="U32" s="147"/>
      <c r="V32" s="107" t="str">
        <f t="shared" si="4"/>
        <v/>
      </c>
      <c r="W32" s="107" t="str">
        <f t="shared" si="5"/>
        <v/>
      </c>
    </row>
    <row r="33" ht="18.0" customHeight="1">
      <c r="A33" s="93"/>
      <c r="B33" s="123"/>
      <c r="C33" s="110" t="str">
        <f t="shared" si="7"/>
        <v/>
      </c>
      <c r="D33" s="110" t="str">
        <f t="shared" si="8"/>
        <v/>
      </c>
      <c r="E33" s="124"/>
      <c r="F33" s="110"/>
      <c r="G33" s="137"/>
      <c r="H33" s="116"/>
      <c r="I33" s="126"/>
      <c r="J33" s="127"/>
      <c r="K33" s="116"/>
      <c r="L33" s="129"/>
      <c r="M33" s="162"/>
      <c r="N33" s="163"/>
      <c r="O33" s="148"/>
      <c r="P33" s="155"/>
      <c r="Q33" s="156" t="str">
        <f t="shared" si="15"/>
        <v/>
      </c>
      <c r="R33" s="157" t="str">
        <f t="shared" si="16"/>
        <v/>
      </c>
      <c r="S33" s="158" t="str">
        <f t="shared" si="17"/>
        <v/>
      </c>
      <c r="T33" s="158" t="str">
        <f t="shared" si="18"/>
        <v/>
      </c>
      <c r="U33" s="147"/>
      <c r="V33" s="107" t="str">
        <f t="shared" si="4"/>
        <v/>
      </c>
      <c r="W33" s="107" t="str">
        <f t="shared" si="5"/>
        <v/>
      </c>
    </row>
    <row r="34" ht="18.75" customHeight="1">
      <c r="A34" s="93"/>
      <c r="B34" s="123"/>
      <c r="C34" s="110"/>
      <c r="D34" s="110"/>
      <c r="E34" s="124"/>
      <c r="F34" s="110"/>
      <c r="G34" s="137"/>
      <c r="H34" s="116"/>
      <c r="I34" s="126"/>
      <c r="J34" s="127"/>
      <c r="K34" s="116"/>
      <c r="L34" s="129"/>
      <c r="M34" s="162"/>
      <c r="N34" s="163"/>
      <c r="O34" s="148"/>
      <c r="P34" s="155"/>
      <c r="Q34" s="156" t="str">
        <f t="shared" si="15"/>
        <v/>
      </c>
      <c r="R34" s="157" t="str">
        <f t="shared" si="16"/>
        <v/>
      </c>
      <c r="S34" s="158" t="str">
        <f t="shared" si="17"/>
        <v/>
      </c>
      <c r="T34" s="158" t="str">
        <f t="shared" si="18"/>
        <v/>
      </c>
      <c r="U34" s="147"/>
      <c r="V34" s="107" t="str">
        <f t="shared" si="4"/>
        <v/>
      </c>
      <c r="W34" s="107" t="str">
        <f t="shared" si="5"/>
        <v/>
      </c>
    </row>
    <row r="35" ht="18.75" customHeight="1">
      <c r="A35" s="93"/>
      <c r="B35" s="123"/>
      <c r="C35" s="110"/>
      <c r="D35" s="110"/>
      <c r="E35" s="124"/>
      <c r="F35" s="110"/>
      <c r="G35" s="137"/>
      <c r="H35" s="116"/>
      <c r="I35" s="126"/>
      <c r="J35" s="127"/>
      <c r="K35" s="116"/>
      <c r="L35" s="129"/>
      <c r="M35" s="162"/>
      <c r="N35" s="163"/>
      <c r="O35" s="148"/>
      <c r="P35" s="155"/>
      <c r="Q35" s="156" t="str">
        <f t="shared" si="15"/>
        <v/>
      </c>
      <c r="R35" s="157" t="str">
        <f t="shared" si="16"/>
        <v/>
      </c>
      <c r="S35" s="158" t="str">
        <f t="shared" si="17"/>
        <v/>
      </c>
      <c r="T35" s="158" t="str">
        <f t="shared" si="18"/>
        <v/>
      </c>
      <c r="U35" s="147"/>
      <c r="V35" s="107" t="str">
        <f t="shared" si="4"/>
        <v/>
      </c>
      <c r="W35" s="107" t="str">
        <f t="shared" si="5"/>
        <v/>
      </c>
    </row>
    <row r="36" ht="18.75" customHeight="1">
      <c r="A36" s="93"/>
      <c r="B36" s="123"/>
      <c r="C36" s="110"/>
      <c r="D36" s="110"/>
      <c r="E36" s="124"/>
      <c r="F36" s="110"/>
      <c r="G36" s="137"/>
      <c r="H36" s="116"/>
      <c r="I36" s="126"/>
      <c r="J36" s="127"/>
      <c r="K36" s="116"/>
      <c r="L36" s="129"/>
      <c r="M36" s="162"/>
      <c r="N36" s="163"/>
      <c r="O36" s="148"/>
      <c r="P36" s="155"/>
      <c r="Q36" s="156" t="str">
        <f t="shared" si="15"/>
        <v/>
      </c>
      <c r="R36" s="157" t="str">
        <f t="shared" si="16"/>
        <v/>
      </c>
      <c r="S36" s="158" t="str">
        <f t="shared" si="17"/>
        <v/>
      </c>
      <c r="T36" s="158" t="str">
        <f t="shared" si="18"/>
        <v/>
      </c>
      <c r="U36" s="147"/>
      <c r="V36" s="107" t="str">
        <f t="shared" si="4"/>
        <v/>
      </c>
      <c r="W36" s="107" t="str">
        <f t="shared" si="5"/>
        <v/>
      </c>
    </row>
    <row r="37" ht="18.75" customHeight="1">
      <c r="A37" s="93"/>
      <c r="B37" s="123"/>
      <c r="C37" s="110"/>
      <c r="D37" s="110"/>
      <c r="E37" s="124"/>
      <c r="F37" s="110"/>
      <c r="G37" s="137"/>
      <c r="H37" s="116"/>
      <c r="I37" s="126"/>
      <c r="J37" s="127"/>
      <c r="K37" s="116"/>
      <c r="L37" s="129"/>
      <c r="M37" s="162"/>
      <c r="N37" s="163"/>
      <c r="O37" s="148"/>
      <c r="P37" s="161"/>
      <c r="Q37" s="161"/>
      <c r="R37" s="161"/>
      <c r="S37" s="161"/>
      <c r="T37" s="161"/>
      <c r="U37" s="147"/>
      <c r="V37" s="107" t="str">
        <f t="shared" si="4"/>
        <v/>
      </c>
      <c r="W37" s="107" t="str">
        <f t="shared" si="5"/>
        <v/>
      </c>
    </row>
    <row r="38" ht="18.75" customHeight="1">
      <c r="A38" s="93"/>
      <c r="B38" s="123"/>
      <c r="C38" s="110"/>
      <c r="D38" s="110"/>
      <c r="E38" s="124"/>
      <c r="F38" s="110"/>
      <c r="G38" s="137"/>
      <c r="H38" s="116"/>
      <c r="I38" s="126"/>
      <c r="J38" s="127"/>
      <c r="K38" s="116"/>
      <c r="L38" s="129"/>
      <c r="M38" s="162"/>
      <c r="N38" s="163"/>
      <c r="O38" s="148"/>
      <c r="P38" s="149" t="s">
        <v>57</v>
      </c>
      <c r="Q38" s="147"/>
      <c r="R38" s="93"/>
      <c r="S38" s="93"/>
      <c r="T38" s="147"/>
      <c r="U38" s="147"/>
      <c r="V38" s="107" t="str">
        <f t="shared" si="4"/>
        <v/>
      </c>
      <c r="W38" s="107" t="str">
        <f t="shared" si="5"/>
        <v/>
      </c>
    </row>
    <row r="39" ht="18.75" customHeight="1">
      <c r="A39" s="93"/>
      <c r="B39" s="123"/>
      <c r="C39" s="110"/>
      <c r="D39" s="110"/>
      <c r="E39" s="124"/>
      <c r="F39" s="110"/>
      <c r="G39" s="137"/>
      <c r="H39" s="116"/>
      <c r="I39" s="126"/>
      <c r="J39" s="127"/>
      <c r="K39" s="116"/>
      <c r="L39" s="129"/>
      <c r="M39" s="162"/>
      <c r="N39" s="163"/>
      <c r="O39" s="148"/>
      <c r="P39" s="152" t="s">
        <v>58</v>
      </c>
      <c r="Q39" s="153" t="s">
        <v>26</v>
      </c>
      <c r="R39" s="153" t="s">
        <v>55</v>
      </c>
      <c r="S39" s="153" t="s">
        <v>27</v>
      </c>
      <c r="T39" s="154" t="s">
        <v>28</v>
      </c>
      <c r="U39" s="147"/>
      <c r="V39" s="107" t="str">
        <f t="shared" si="4"/>
        <v/>
      </c>
      <c r="W39" s="107" t="str">
        <f t="shared" si="5"/>
        <v/>
      </c>
    </row>
    <row r="40" ht="18.75" customHeight="1">
      <c r="A40" s="93"/>
      <c r="B40" s="123"/>
      <c r="C40" s="110"/>
      <c r="D40" s="110"/>
      <c r="E40" s="124"/>
      <c r="F40" s="110"/>
      <c r="G40" s="137"/>
      <c r="H40" s="116"/>
      <c r="I40" s="126"/>
      <c r="J40" s="127"/>
      <c r="K40" s="116"/>
      <c r="L40" s="129"/>
      <c r="M40" s="162"/>
      <c r="N40" s="163"/>
      <c r="O40" s="148"/>
      <c r="P40" s="164" t="str">
        <f t="array" ref="P40:P41">sort(UNIQUE({V3:V122;W3:W122}))</f>
        <v/>
      </c>
      <c r="Q40" s="156"/>
      <c r="R40" s="157"/>
      <c r="S40" s="158"/>
      <c r="T40" s="158"/>
      <c r="U40" s="147"/>
      <c r="V40" s="107" t="str">
        <f t="shared" si="4"/>
        <v/>
      </c>
      <c r="W40" s="107" t="str">
        <f t="shared" si="5"/>
        <v/>
      </c>
    </row>
    <row r="41" ht="18.75" customHeight="1">
      <c r="A41" s="93"/>
      <c r="B41" s="123"/>
      <c r="C41" s="110"/>
      <c r="D41" s="110"/>
      <c r="E41" s="124"/>
      <c r="F41" s="110"/>
      <c r="G41" s="137"/>
      <c r="H41" s="116"/>
      <c r="I41" s="126"/>
      <c r="J41" s="127"/>
      <c r="K41" s="116"/>
      <c r="L41" s="129"/>
      <c r="M41" s="162"/>
      <c r="N41" s="163"/>
      <c r="O41" s="148"/>
      <c r="P41" s="164"/>
      <c r="Q41" s="156" t="str">
        <f t="shared" ref="Q41:Q84" si="19">if(P41="","", sumif(V$3:V122,P41,G$3:G122)+sumif(W$3:W122,P41,G$3:G122))</f>
        <v/>
      </c>
      <c r="R41" s="157" t="str">
        <f t="shared" ref="R41:R101" si="20">if(P41="","", countif(V$3:W122,P41))</f>
        <v/>
      </c>
      <c r="S41" s="158" t="str">
        <f t="shared" ref="S41:S101" si="21">if(P41="","", iferror(averageif(V$3:V122,P41,H$3:H122),0)+iferror(averageif(W$3:W122,P41,H$3:H122),0))</f>
        <v/>
      </c>
      <c r="T41" s="158" t="str">
        <f t="shared" ref="T41:T101" si="22">if(P41="","",Q41/sum($G$3:$G122))</f>
        <v/>
      </c>
      <c r="U41" s="147"/>
      <c r="V41" s="107" t="str">
        <f t="shared" si="4"/>
        <v/>
      </c>
      <c r="W41" s="107" t="str">
        <f t="shared" si="5"/>
        <v/>
      </c>
    </row>
    <row r="42" ht="18.75" customHeight="1">
      <c r="A42" s="93"/>
      <c r="B42" s="123"/>
      <c r="C42" s="110"/>
      <c r="D42" s="110"/>
      <c r="E42" s="124"/>
      <c r="F42" s="110"/>
      <c r="G42" s="137"/>
      <c r="H42" s="116"/>
      <c r="I42" s="126"/>
      <c r="J42" s="127"/>
      <c r="K42" s="116"/>
      <c r="L42" s="129"/>
      <c r="M42" s="162"/>
      <c r="N42" s="163"/>
      <c r="O42" s="145"/>
      <c r="P42" s="155"/>
      <c r="Q42" s="156" t="str">
        <f t="shared" si="19"/>
        <v/>
      </c>
      <c r="R42" s="157" t="str">
        <f t="shared" si="20"/>
        <v/>
      </c>
      <c r="S42" s="158" t="str">
        <f t="shared" si="21"/>
        <v/>
      </c>
      <c r="T42" s="158" t="str">
        <f t="shared" si="22"/>
        <v/>
      </c>
      <c r="U42" s="93"/>
      <c r="V42" s="107" t="str">
        <f t="shared" si="4"/>
        <v/>
      </c>
      <c r="W42" s="107" t="str">
        <f t="shared" si="5"/>
        <v/>
      </c>
    </row>
    <row r="43" ht="18.75" customHeight="1">
      <c r="A43" s="93"/>
      <c r="B43" s="123"/>
      <c r="C43" s="110"/>
      <c r="D43" s="110"/>
      <c r="E43" s="124"/>
      <c r="F43" s="110"/>
      <c r="G43" s="137"/>
      <c r="H43" s="116"/>
      <c r="I43" s="126"/>
      <c r="J43" s="127"/>
      <c r="K43" s="116"/>
      <c r="L43" s="129"/>
      <c r="M43" s="162"/>
      <c r="N43" s="163"/>
      <c r="O43" s="145"/>
      <c r="P43" s="155"/>
      <c r="Q43" s="156" t="str">
        <f t="shared" si="19"/>
        <v/>
      </c>
      <c r="R43" s="157" t="str">
        <f t="shared" si="20"/>
        <v/>
      </c>
      <c r="S43" s="158" t="str">
        <f t="shared" si="21"/>
        <v/>
      </c>
      <c r="T43" s="158" t="str">
        <f t="shared" si="22"/>
        <v/>
      </c>
      <c r="U43" s="93"/>
      <c r="V43" s="107" t="str">
        <f t="shared" si="4"/>
        <v/>
      </c>
      <c r="W43" s="107" t="str">
        <f t="shared" si="5"/>
        <v/>
      </c>
    </row>
    <row r="44" ht="18.75" customHeight="1">
      <c r="A44" s="93"/>
      <c r="B44" s="123"/>
      <c r="C44" s="110"/>
      <c r="D44" s="110"/>
      <c r="E44" s="124"/>
      <c r="F44" s="110"/>
      <c r="G44" s="137"/>
      <c r="H44" s="116"/>
      <c r="I44" s="126"/>
      <c r="J44" s="127"/>
      <c r="K44" s="116"/>
      <c r="L44" s="129"/>
      <c r="M44" s="162"/>
      <c r="N44" s="163"/>
      <c r="O44" s="145"/>
      <c r="P44" s="155"/>
      <c r="Q44" s="156" t="str">
        <f t="shared" si="19"/>
        <v/>
      </c>
      <c r="R44" s="157" t="str">
        <f t="shared" si="20"/>
        <v/>
      </c>
      <c r="S44" s="158" t="str">
        <f t="shared" si="21"/>
        <v/>
      </c>
      <c r="T44" s="158" t="str">
        <f t="shared" si="22"/>
        <v/>
      </c>
      <c r="U44" s="93"/>
      <c r="V44" s="107" t="str">
        <f t="shared" si="4"/>
        <v/>
      </c>
      <c r="W44" s="107" t="str">
        <f t="shared" si="5"/>
        <v/>
      </c>
    </row>
    <row r="45" ht="18.75" customHeight="1">
      <c r="A45" s="93"/>
      <c r="B45" s="123"/>
      <c r="C45" s="110"/>
      <c r="D45" s="110"/>
      <c r="E45" s="124"/>
      <c r="F45" s="110"/>
      <c r="G45" s="137"/>
      <c r="H45" s="116"/>
      <c r="I45" s="126"/>
      <c r="J45" s="127"/>
      <c r="K45" s="116"/>
      <c r="L45" s="129"/>
      <c r="M45" s="162"/>
      <c r="N45" s="165"/>
      <c r="O45" s="93"/>
      <c r="P45" s="155"/>
      <c r="Q45" s="156" t="str">
        <f t="shared" si="19"/>
        <v/>
      </c>
      <c r="R45" s="157" t="str">
        <f t="shared" si="20"/>
        <v/>
      </c>
      <c r="S45" s="158" t="str">
        <f t="shared" si="21"/>
        <v/>
      </c>
      <c r="T45" s="158" t="str">
        <f t="shared" si="22"/>
        <v/>
      </c>
      <c r="U45" s="93"/>
      <c r="V45" s="107" t="str">
        <f t="shared" si="4"/>
        <v/>
      </c>
      <c r="W45" s="107" t="str">
        <f t="shared" si="5"/>
        <v/>
      </c>
    </row>
    <row r="46" ht="18.75" customHeight="1">
      <c r="A46" s="93"/>
      <c r="B46" s="123"/>
      <c r="C46" s="110"/>
      <c r="D46" s="110"/>
      <c r="E46" s="124"/>
      <c r="F46" s="110"/>
      <c r="G46" s="137"/>
      <c r="H46" s="116"/>
      <c r="I46" s="126"/>
      <c r="J46" s="127"/>
      <c r="K46" s="116"/>
      <c r="L46" s="129"/>
      <c r="M46" s="162"/>
      <c r="N46" s="165"/>
      <c r="O46" s="93"/>
      <c r="P46" s="155"/>
      <c r="Q46" s="156" t="str">
        <f t="shared" si="19"/>
        <v/>
      </c>
      <c r="R46" s="157" t="str">
        <f t="shared" si="20"/>
        <v/>
      </c>
      <c r="S46" s="158" t="str">
        <f t="shared" si="21"/>
        <v/>
      </c>
      <c r="T46" s="158" t="str">
        <f t="shared" si="22"/>
        <v/>
      </c>
      <c r="U46" s="93"/>
      <c r="V46" s="107" t="str">
        <f t="shared" si="4"/>
        <v/>
      </c>
      <c r="W46" s="107" t="str">
        <f t="shared" si="5"/>
        <v/>
      </c>
    </row>
    <row r="47" ht="18.75" customHeight="1">
      <c r="A47" s="93"/>
      <c r="B47" s="123"/>
      <c r="C47" s="110"/>
      <c r="D47" s="110"/>
      <c r="E47" s="124"/>
      <c r="F47" s="110"/>
      <c r="G47" s="137"/>
      <c r="H47" s="116"/>
      <c r="I47" s="126"/>
      <c r="J47" s="127"/>
      <c r="K47" s="116"/>
      <c r="L47" s="129"/>
      <c r="M47" s="162"/>
      <c r="N47" s="165"/>
      <c r="O47" s="93"/>
      <c r="P47" s="155"/>
      <c r="Q47" s="156" t="str">
        <f t="shared" si="19"/>
        <v/>
      </c>
      <c r="R47" s="157" t="str">
        <f t="shared" si="20"/>
        <v/>
      </c>
      <c r="S47" s="158" t="str">
        <f t="shared" si="21"/>
        <v/>
      </c>
      <c r="T47" s="158" t="str">
        <f t="shared" si="22"/>
        <v/>
      </c>
      <c r="U47" s="93"/>
      <c r="V47" s="107" t="str">
        <f t="shared" si="4"/>
        <v/>
      </c>
      <c r="W47" s="107" t="str">
        <f t="shared" si="5"/>
        <v/>
      </c>
    </row>
    <row r="48" ht="18.75" customHeight="1">
      <c r="A48" s="93"/>
      <c r="B48" s="123"/>
      <c r="C48" s="110"/>
      <c r="D48" s="110"/>
      <c r="E48" s="124"/>
      <c r="F48" s="110"/>
      <c r="G48" s="137"/>
      <c r="H48" s="116"/>
      <c r="I48" s="126"/>
      <c r="J48" s="127"/>
      <c r="K48" s="116"/>
      <c r="L48" s="129"/>
      <c r="M48" s="162"/>
      <c r="N48" s="165"/>
      <c r="O48" s="93"/>
      <c r="P48" s="155"/>
      <c r="Q48" s="156" t="str">
        <f t="shared" si="19"/>
        <v/>
      </c>
      <c r="R48" s="157" t="str">
        <f t="shared" si="20"/>
        <v/>
      </c>
      <c r="S48" s="158" t="str">
        <f t="shared" si="21"/>
        <v/>
      </c>
      <c r="T48" s="158" t="str">
        <f t="shared" si="22"/>
        <v/>
      </c>
      <c r="U48" s="93"/>
      <c r="V48" s="107" t="str">
        <f t="shared" si="4"/>
        <v/>
      </c>
      <c r="W48" s="107" t="str">
        <f t="shared" si="5"/>
        <v/>
      </c>
    </row>
    <row r="49" ht="18.75" customHeight="1">
      <c r="A49" s="93"/>
      <c r="B49" s="123"/>
      <c r="C49" s="110"/>
      <c r="D49" s="110"/>
      <c r="E49" s="124"/>
      <c r="F49" s="110"/>
      <c r="G49" s="137"/>
      <c r="H49" s="116"/>
      <c r="I49" s="126"/>
      <c r="J49" s="127"/>
      <c r="K49" s="116"/>
      <c r="L49" s="129"/>
      <c r="M49" s="162"/>
      <c r="N49" s="165"/>
      <c r="O49" s="93"/>
      <c r="P49" s="155"/>
      <c r="Q49" s="156" t="str">
        <f t="shared" si="19"/>
        <v/>
      </c>
      <c r="R49" s="157" t="str">
        <f t="shared" si="20"/>
        <v/>
      </c>
      <c r="S49" s="158" t="str">
        <f t="shared" si="21"/>
        <v/>
      </c>
      <c r="T49" s="158" t="str">
        <f t="shared" si="22"/>
        <v/>
      </c>
      <c r="U49" s="93"/>
      <c r="V49" s="107" t="str">
        <f t="shared" si="4"/>
        <v/>
      </c>
      <c r="W49" s="107" t="str">
        <f t="shared" si="5"/>
        <v/>
      </c>
    </row>
    <row r="50" ht="18.75" customHeight="1">
      <c r="A50" s="93"/>
      <c r="B50" s="123"/>
      <c r="C50" s="110"/>
      <c r="D50" s="110"/>
      <c r="E50" s="124"/>
      <c r="F50" s="110"/>
      <c r="G50" s="137"/>
      <c r="H50" s="116"/>
      <c r="I50" s="126"/>
      <c r="J50" s="127"/>
      <c r="K50" s="116"/>
      <c r="L50" s="129"/>
      <c r="M50" s="162"/>
      <c r="N50" s="165"/>
      <c r="O50" s="93"/>
      <c r="P50" s="155"/>
      <c r="Q50" s="156" t="str">
        <f t="shared" si="19"/>
        <v/>
      </c>
      <c r="R50" s="157" t="str">
        <f t="shared" si="20"/>
        <v/>
      </c>
      <c r="S50" s="158" t="str">
        <f t="shared" si="21"/>
        <v/>
      </c>
      <c r="T50" s="158" t="str">
        <f t="shared" si="22"/>
        <v/>
      </c>
      <c r="U50" s="93"/>
      <c r="V50" s="107" t="str">
        <f t="shared" si="4"/>
        <v/>
      </c>
      <c r="W50" s="107" t="str">
        <f t="shared" si="5"/>
        <v/>
      </c>
    </row>
    <row r="51" ht="18.75" customHeight="1">
      <c r="A51" s="93"/>
      <c r="B51" s="123"/>
      <c r="C51" s="110"/>
      <c r="D51" s="110"/>
      <c r="E51" s="124"/>
      <c r="F51" s="110"/>
      <c r="G51" s="137"/>
      <c r="H51" s="116"/>
      <c r="I51" s="126"/>
      <c r="J51" s="127"/>
      <c r="K51" s="116"/>
      <c r="L51" s="129"/>
      <c r="M51" s="162"/>
      <c r="N51" s="165"/>
      <c r="O51" s="93"/>
      <c r="P51" s="155"/>
      <c r="Q51" s="156" t="str">
        <f t="shared" si="19"/>
        <v/>
      </c>
      <c r="R51" s="157" t="str">
        <f t="shared" si="20"/>
        <v/>
      </c>
      <c r="S51" s="158" t="str">
        <f t="shared" si="21"/>
        <v/>
      </c>
      <c r="T51" s="158" t="str">
        <f t="shared" si="22"/>
        <v/>
      </c>
      <c r="U51" s="93"/>
      <c r="V51" s="107" t="str">
        <f t="shared" si="4"/>
        <v/>
      </c>
      <c r="W51" s="107" t="str">
        <f t="shared" si="5"/>
        <v/>
      </c>
    </row>
    <row r="52" ht="18.75" customHeight="1">
      <c r="A52" s="93"/>
      <c r="B52" s="123"/>
      <c r="C52" s="110"/>
      <c r="D52" s="110"/>
      <c r="E52" s="124"/>
      <c r="F52" s="110"/>
      <c r="G52" s="137"/>
      <c r="H52" s="116"/>
      <c r="I52" s="126"/>
      <c r="J52" s="127"/>
      <c r="K52" s="116"/>
      <c r="L52" s="129"/>
      <c r="M52" s="162"/>
      <c r="N52" s="165"/>
      <c r="O52" s="93"/>
      <c r="P52" s="155"/>
      <c r="Q52" s="156" t="str">
        <f t="shared" si="19"/>
        <v/>
      </c>
      <c r="R52" s="157" t="str">
        <f t="shared" si="20"/>
        <v/>
      </c>
      <c r="S52" s="158" t="str">
        <f t="shared" si="21"/>
        <v/>
      </c>
      <c r="T52" s="158" t="str">
        <f t="shared" si="22"/>
        <v/>
      </c>
      <c r="U52" s="93"/>
      <c r="V52" s="107" t="str">
        <f t="shared" si="4"/>
        <v/>
      </c>
      <c r="W52" s="107" t="str">
        <f t="shared" si="5"/>
        <v/>
      </c>
    </row>
    <row r="53" ht="18.75" customHeight="1">
      <c r="A53" s="93"/>
      <c r="B53" s="123"/>
      <c r="C53" s="110"/>
      <c r="D53" s="110"/>
      <c r="E53" s="124"/>
      <c r="F53" s="110"/>
      <c r="G53" s="137"/>
      <c r="H53" s="116"/>
      <c r="I53" s="126"/>
      <c r="J53" s="127"/>
      <c r="K53" s="116"/>
      <c r="L53" s="129"/>
      <c r="M53" s="162"/>
      <c r="N53" s="165"/>
      <c r="O53" s="93"/>
      <c r="P53" s="155"/>
      <c r="Q53" s="156" t="str">
        <f t="shared" si="19"/>
        <v/>
      </c>
      <c r="R53" s="157" t="str">
        <f t="shared" si="20"/>
        <v/>
      </c>
      <c r="S53" s="158" t="str">
        <f t="shared" si="21"/>
        <v/>
      </c>
      <c r="T53" s="158" t="str">
        <f t="shared" si="22"/>
        <v/>
      </c>
      <c r="U53" s="93"/>
      <c r="V53" s="107" t="str">
        <f t="shared" si="4"/>
        <v/>
      </c>
      <c r="W53" s="107" t="str">
        <f t="shared" si="5"/>
        <v/>
      </c>
    </row>
    <row r="54" ht="18.75" customHeight="1">
      <c r="A54" s="93"/>
      <c r="B54" s="123"/>
      <c r="C54" s="110"/>
      <c r="D54" s="110"/>
      <c r="E54" s="124"/>
      <c r="F54" s="110"/>
      <c r="G54" s="137"/>
      <c r="H54" s="116"/>
      <c r="I54" s="126"/>
      <c r="J54" s="127"/>
      <c r="K54" s="116"/>
      <c r="L54" s="129"/>
      <c r="M54" s="162"/>
      <c r="N54" s="165"/>
      <c r="O54" s="93"/>
      <c r="P54" s="155"/>
      <c r="Q54" s="156" t="str">
        <f t="shared" si="19"/>
        <v/>
      </c>
      <c r="R54" s="157" t="str">
        <f t="shared" si="20"/>
        <v/>
      </c>
      <c r="S54" s="158" t="str">
        <f t="shared" si="21"/>
        <v/>
      </c>
      <c r="T54" s="158" t="str">
        <f t="shared" si="22"/>
        <v/>
      </c>
      <c r="U54" s="93"/>
      <c r="V54" s="107" t="str">
        <f t="shared" si="4"/>
        <v/>
      </c>
      <c r="W54" s="107" t="str">
        <f t="shared" si="5"/>
        <v/>
      </c>
    </row>
    <row r="55" ht="18.75" customHeight="1">
      <c r="A55" s="93"/>
      <c r="B55" s="123"/>
      <c r="C55" s="110"/>
      <c r="D55" s="110"/>
      <c r="E55" s="124"/>
      <c r="F55" s="110"/>
      <c r="G55" s="137"/>
      <c r="H55" s="116"/>
      <c r="I55" s="126"/>
      <c r="J55" s="127"/>
      <c r="K55" s="116"/>
      <c r="L55" s="129"/>
      <c r="M55" s="162"/>
      <c r="N55" s="165"/>
      <c r="O55" s="93"/>
      <c r="P55" s="155"/>
      <c r="Q55" s="156" t="str">
        <f t="shared" si="19"/>
        <v/>
      </c>
      <c r="R55" s="157" t="str">
        <f t="shared" si="20"/>
        <v/>
      </c>
      <c r="S55" s="158" t="str">
        <f t="shared" si="21"/>
        <v/>
      </c>
      <c r="T55" s="158" t="str">
        <f t="shared" si="22"/>
        <v/>
      </c>
      <c r="U55" s="93"/>
      <c r="V55" s="107" t="str">
        <f t="shared" si="4"/>
        <v/>
      </c>
      <c r="W55" s="107" t="str">
        <f t="shared" si="5"/>
        <v/>
      </c>
    </row>
    <row r="56" ht="18.75" customHeight="1">
      <c r="A56" s="93"/>
      <c r="B56" s="93"/>
      <c r="C56" s="166"/>
      <c r="D56" s="166"/>
      <c r="E56" s="167"/>
      <c r="F56" s="166"/>
      <c r="G56" s="168"/>
      <c r="H56" s="169"/>
      <c r="I56" s="170"/>
      <c r="J56" s="171"/>
      <c r="K56" s="169"/>
      <c r="L56" s="172"/>
      <c r="M56" s="173"/>
      <c r="N56" s="174"/>
      <c r="O56" s="93"/>
      <c r="P56" s="155"/>
      <c r="Q56" s="156" t="str">
        <f t="shared" si="19"/>
        <v/>
      </c>
      <c r="R56" s="157" t="str">
        <f t="shared" si="20"/>
        <v/>
      </c>
      <c r="S56" s="158" t="str">
        <f t="shared" si="21"/>
        <v/>
      </c>
      <c r="T56" s="158" t="str">
        <f t="shared" si="22"/>
        <v/>
      </c>
      <c r="U56" s="93"/>
      <c r="V56" s="107" t="str">
        <f t="shared" si="4"/>
        <v/>
      </c>
      <c r="W56" s="107" t="str">
        <f t="shared" si="5"/>
        <v/>
      </c>
    </row>
    <row r="57" ht="18.75" customHeight="1">
      <c r="A57" s="93"/>
      <c r="B57" s="93"/>
      <c r="C57" s="166"/>
      <c r="D57" s="166"/>
      <c r="E57" s="167"/>
      <c r="F57" s="166"/>
      <c r="G57" s="168"/>
      <c r="H57" s="169"/>
      <c r="I57" s="170"/>
      <c r="J57" s="171"/>
      <c r="K57" s="169"/>
      <c r="L57" s="175"/>
      <c r="M57" s="176"/>
      <c r="N57" s="174"/>
      <c r="O57" s="93"/>
      <c r="P57" s="155"/>
      <c r="Q57" s="156" t="str">
        <f t="shared" si="19"/>
        <v/>
      </c>
      <c r="R57" s="157" t="str">
        <f t="shared" si="20"/>
        <v/>
      </c>
      <c r="S57" s="158" t="str">
        <f t="shared" si="21"/>
        <v/>
      </c>
      <c r="T57" s="158" t="str">
        <f t="shared" si="22"/>
        <v/>
      </c>
      <c r="U57" s="93"/>
      <c r="V57" s="107" t="str">
        <f t="shared" si="4"/>
        <v/>
      </c>
      <c r="W57" s="107" t="str">
        <f t="shared" si="5"/>
        <v/>
      </c>
    </row>
    <row r="58" ht="18.75" customHeight="1">
      <c r="A58" s="93"/>
      <c r="B58" s="93"/>
      <c r="C58" s="166"/>
      <c r="D58" s="166"/>
      <c r="E58" s="166"/>
      <c r="F58" s="166"/>
      <c r="G58" s="177"/>
      <c r="H58" s="178"/>
      <c r="I58" s="170"/>
      <c r="J58" s="169"/>
      <c r="K58" s="169"/>
      <c r="L58" s="179"/>
      <c r="M58" s="180"/>
      <c r="N58" s="181"/>
      <c r="O58" s="93"/>
      <c r="P58" s="155"/>
      <c r="Q58" s="156" t="str">
        <f t="shared" si="19"/>
        <v/>
      </c>
      <c r="R58" s="157" t="str">
        <f t="shared" si="20"/>
        <v/>
      </c>
      <c r="S58" s="158" t="str">
        <f t="shared" si="21"/>
        <v/>
      </c>
      <c r="T58" s="158" t="str">
        <f t="shared" si="22"/>
        <v/>
      </c>
      <c r="U58" s="93"/>
      <c r="V58" s="107" t="str">
        <f t="shared" si="4"/>
        <v/>
      </c>
      <c r="W58" s="107" t="str">
        <f t="shared" si="5"/>
        <v/>
      </c>
    </row>
    <row r="59" ht="18.75" customHeight="1">
      <c r="A59" s="93"/>
      <c r="B59" s="93"/>
      <c r="C59" s="166"/>
      <c r="D59" s="166"/>
      <c r="E59" s="166"/>
      <c r="F59" s="166"/>
      <c r="G59" s="177"/>
      <c r="H59" s="182"/>
      <c r="I59" s="170"/>
      <c r="J59" s="169"/>
      <c r="K59" s="169"/>
      <c r="L59" s="183"/>
      <c r="M59" s="180"/>
      <c r="N59" s="181"/>
      <c r="O59" s="93"/>
      <c r="P59" s="93"/>
      <c r="Q59" s="93" t="str">
        <f t="shared" si="19"/>
        <v/>
      </c>
      <c r="R59" s="93" t="str">
        <f t="shared" si="20"/>
        <v/>
      </c>
      <c r="S59" s="93" t="str">
        <f t="shared" si="21"/>
        <v/>
      </c>
      <c r="T59" s="93" t="str">
        <f t="shared" si="22"/>
        <v/>
      </c>
      <c r="U59" s="93"/>
      <c r="V59" s="107" t="str">
        <f t="shared" si="4"/>
        <v/>
      </c>
      <c r="W59" s="107" t="str">
        <f t="shared" si="5"/>
        <v/>
      </c>
    </row>
    <row r="60" ht="18.75" customHeight="1">
      <c r="A60" s="93"/>
      <c r="B60" s="93"/>
      <c r="C60" s="166"/>
      <c r="D60" s="166"/>
      <c r="E60" s="166"/>
      <c r="F60" s="166"/>
      <c r="G60" s="177"/>
      <c r="H60" s="182"/>
      <c r="I60" s="170"/>
      <c r="J60" s="169"/>
      <c r="K60" s="169"/>
      <c r="L60" s="183"/>
      <c r="M60" s="180"/>
      <c r="N60" s="181"/>
      <c r="O60" s="93"/>
      <c r="P60" s="93"/>
      <c r="Q60" s="93" t="str">
        <f t="shared" si="19"/>
        <v/>
      </c>
      <c r="R60" s="93" t="str">
        <f t="shared" si="20"/>
        <v/>
      </c>
      <c r="S60" s="93" t="str">
        <f t="shared" si="21"/>
        <v/>
      </c>
      <c r="T60" s="93" t="str">
        <f t="shared" si="22"/>
        <v/>
      </c>
      <c r="U60" s="93"/>
      <c r="V60" s="107" t="str">
        <f t="shared" si="4"/>
        <v/>
      </c>
      <c r="W60" s="107" t="str">
        <f t="shared" si="5"/>
        <v/>
      </c>
    </row>
    <row r="61" ht="18.75" customHeight="1">
      <c r="A61" s="93"/>
      <c r="B61" s="93"/>
      <c r="C61" s="166"/>
      <c r="D61" s="166"/>
      <c r="E61" s="166"/>
      <c r="F61" s="166"/>
      <c r="G61" s="177"/>
      <c r="H61" s="182"/>
      <c r="I61" s="170"/>
      <c r="J61" s="169"/>
      <c r="K61" s="169"/>
      <c r="L61" s="183"/>
      <c r="M61" s="180"/>
      <c r="N61" s="181"/>
      <c r="O61" s="93"/>
      <c r="P61" s="93"/>
      <c r="Q61" s="93" t="str">
        <f t="shared" si="19"/>
        <v/>
      </c>
      <c r="R61" s="93" t="str">
        <f t="shared" si="20"/>
        <v/>
      </c>
      <c r="S61" s="93" t="str">
        <f t="shared" si="21"/>
        <v/>
      </c>
      <c r="T61" s="93" t="str">
        <f t="shared" si="22"/>
        <v/>
      </c>
      <c r="U61" s="93"/>
      <c r="V61" s="107" t="str">
        <f t="shared" si="4"/>
        <v/>
      </c>
      <c r="W61" s="107" t="str">
        <f t="shared" si="5"/>
        <v/>
      </c>
    </row>
    <row r="62" ht="18.75" customHeight="1">
      <c r="A62" s="93"/>
      <c r="B62" s="93"/>
      <c r="C62" s="166"/>
      <c r="D62" s="166"/>
      <c r="E62" s="166"/>
      <c r="F62" s="166"/>
      <c r="G62" s="177"/>
      <c r="H62" s="182"/>
      <c r="I62" s="170"/>
      <c r="J62" s="169"/>
      <c r="K62" s="169"/>
      <c r="L62" s="183"/>
      <c r="M62" s="180"/>
      <c r="N62" s="181"/>
      <c r="O62" s="93"/>
      <c r="P62" s="93"/>
      <c r="Q62" s="93" t="str">
        <f t="shared" si="19"/>
        <v/>
      </c>
      <c r="R62" s="93" t="str">
        <f t="shared" si="20"/>
        <v/>
      </c>
      <c r="S62" s="93" t="str">
        <f t="shared" si="21"/>
        <v/>
      </c>
      <c r="T62" s="93" t="str">
        <f t="shared" si="22"/>
        <v/>
      </c>
      <c r="U62" s="93"/>
      <c r="V62" s="107" t="str">
        <f t="shared" si="4"/>
        <v/>
      </c>
      <c r="W62" s="107" t="str">
        <f t="shared" si="5"/>
        <v/>
      </c>
    </row>
    <row r="63" ht="18.75" customHeight="1">
      <c r="A63" s="93"/>
      <c r="B63" s="93"/>
      <c r="C63" s="166"/>
      <c r="D63" s="166"/>
      <c r="E63" s="166"/>
      <c r="F63" s="166"/>
      <c r="G63" s="177"/>
      <c r="H63" s="182"/>
      <c r="I63" s="170"/>
      <c r="J63" s="169"/>
      <c r="K63" s="169"/>
      <c r="L63" s="183"/>
      <c r="M63" s="180"/>
      <c r="N63" s="181"/>
      <c r="O63" s="93"/>
      <c r="P63" s="93"/>
      <c r="Q63" s="93" t="str">
        <f t="shared" si="19"/>
        <v/>
      </c>
      <c r="R63" s="93" t="str">
        <f t="shared" si="20"/>
        <v/>
      </c>
      <c r="S63" s="93" t="str">
        <f t="shared" si="21"/>
        <v/>
      </c>
      <c r="T63" s="93" t="str">
        <f t="shared" si="22"/>
        <v/>
      </c>
      <c r="U63" s="93"/>
      <c r="V63" s="107" t="str">
        <f t="shared" si="4"/>
        <v/>
      </c>
      <c r="W63" s="107" t="str">
        <f t="shared" si="5"/>
        <v/>
      </c>
    </row>
    <row r="64" ht="18.75" customHeight="1">
      <c r="A64" s="93"/>
      <c r="B64" s="93"/>
      <c r="C64" s="166"/>
      <c r="D64" s="166"/>
      <c r="E64" s="166"/>
      <c r="F64" s="166"/>
      <c r="G64" s="177"/>
      <c r="H64" s="182"/>
      <c r="I64" s="170"/>
      <c r="J64" s="169"/>
      <c r="K64" s="169"/>
      <c r="L64" s="183"/>
      <c r="M64" s="180"/>
      <c r="N64" s="181"/>
      <c r="O64" s="93"/>
      <c r="P64" s="93"/>
      <c r="Q64" s="93" t="str">
        <f t="shared" si="19"/>
        <v/>
      </c>
      <c r="R64" s="93" t="str">
        <f t="shared" si="20"/>
        <v/>
      </c>
      <c r="S64" s="93" t="str">
        <f t="shared" si="21"/>
        <v/>
      </c>
      <c r="T64" s="93" t="str">
        <f t="shared" si="22"/>
        <v/>
      </c>
      <c r="U64" s="93"/>
      <c r="V64" s="107" t="str">
        <f t="shared" si="4"/>
        <v/>
      </c>
      <c r="W64" s="107" t="str">
        <f t="shared" si="5"/>
        <v/>
      </c>
    </row>
    <row r="65" ht="18.75" customHeight="1">
      <c r="A65" s="93"/>
      <c r="B65" s="93"/>
      <c r="C65" s="166"/>
      <c r="D65" s="166"/>
      <c r="E65" s="166"/>
      <c r="F65" s="166"/>
      <c r="G65" s="177"/>
      <c r="H65" s="182"/>
      <c r="I65" s="170"/>
      <c r="J65" s="169"/>
      <c r="K65" s="169"/>
      <c r="L65" s="183"/>
      <c r="M65" s="180"/>
      <c r="N65" s="181"/>
      <c r="O65" s="93"/>
      <c r="P65" s="93"/>
      <c r="Q65" s="93" t="str">
        <f t="shared" si="19"/>
        <v/>
      </c>
      <c r="R65" s="93" t="str">
        <f t="shared" si="20"/>
        <v/>
      </c>
      <c r="S65" s="93" t="str">
        <f t="shared" si="21"/>
        <v/>
      </c>
      <c r="T65" s="93" t="str">
        <f t="shared" si="22"/>
        <v/>
      </c>
      <c r="U65" s="93"/>
      <c r="V65" s="107" t="str">
        <f t="shared" si="4"/>
        <v/>
      </c>
      <c r="W65" s="107" t="str">
        <f t="shared" si="5"/>
        <v/>
      </c>
    </row>
    <row r="66" ht="18.75" customHeight="1">
      <c r="A66" s="93"/>
      <c r="B66" s="93"/>
      <c r="C66" s="166"/>
      <c r="D66" s="166"/>
      <c r="E66" s="166"/>
      <c r="F66" s="166"/>
      <c r="G66" s="177"/>
      <c r="H66" s="182"/>
      <c r="I66" s="170"/>
      <c r="J66" s="169"/>
      <c r="K66" s="169"/>
      <c r="L66" s="183"/>
      <c r="M66" s="180"/>
      <c r="N66" s="181"/>
      <c r="O66" s="93"/>
      <c r="P66" s="93"/>
      <c r="Q66" s="93" t="str">
        <f t="shared" si="19"/>
        <v/>
      </c>
      <c r="R66" s="93" t="str">
        <f t="shared" si="20"/>
        <v/>
      </c>
      <c r="S66" s="93" t="str">
        <f t="shared" si="21"/>
        <v/>
      </c>
      <c r="T66" s="93" t="str">
        <f t="shared" si="22"/>
        <v/>
      </c>
      <c r="U66" s="93"/>
      <c r="V66" s="107" t="str">
        <f t="shared" si="4"/>
        <v/>
      </c>
      <c r="W66" s="107" t="str">
        <f t="shared" si="5"/>
        <v/>
      </c>
    </row>
    <row r="67" ht="18.75" customHeight="1">
      <c r="A67" s="93"/>
      <c r="B67" s="93"/>
      <c r="C67" s="166"/>
      <c r="D67" s="166"/>
      <c r="E67" s="166"/>
      <c r="F67" s="166"/>
      <c r="G67" s="177"/>
      <c r="H67" s="182"/>
      <c r="I67" s="170"/>
      <c r="J67" s="169"/>
      <c r="K67" s="169"/>
      <c r="L67" s="183"/>
      <c r="M67" s="180"/>
      <c r="N67" s="181"/>
      <c r="O67" s="93"/>
      <c r="P67" s="93"/>
      <c r="Q67" s="93" t="str">
        <f t="shared" si="19"/>
        <v/>
      </c>
      <c r="R67" s="93" t="str">
        <f t="shared" si="20"/>
        <v/>
      </c>
      <c r="S67" s="93" t="str">
        <f t="shared" si="21"/>
        <v/>
      </c>
      <c r="T67" s="93" t="str">
        <f t="shared" si="22"/>
        <v/>
      </c>
      <c r="U67" s="93"/>
      <c r="V67" s="107" t="str">
        <f t="shared" si="4"/>
        <v/>
      </c>
      <c r="W67" s="107" t="str">
        <f t="shared" si="5"/>
        <v/>
      </c>
    </row>
    <row r="68" ht="18.75" customHeight="1">
      <c r="A68" s="93"/>
      <c r="B68" s="93"/>
      <c r="C68" s="166"/>
      <c r="D68" s="166"/>
      <c r="E68" s="166"/>
      <c r="F68" s="166"/>
      <c r="G68" s="177"/>
      <c r="H68" s="182"/>
      <c r="I68" s="170"/>
      <c r="J68" s="169"/>
      <c r="K68" s="169"/>
      <c r="L68" s="183"/>
      <c r="M68" s="180"/>
      <c r="N68" s="181"/>
      <c r="O68" s="93"/>
      <c r="P68" s="93"/>
      <c r="Q68" s="93" t="str">
        <f t="shared" si="19"/>
        <v/>
      </c>
      <c r="R68" s="93" t="str">
        <f t="shared" si="20"/>
        <v/>
      </c>
      <c r="S68" s="93" t="str">
        <f t="shared" si="21"/>
        <v/>
      </c>
      <c r="T68" s="93" t="str">
        <f t="shared" si="22"/>
        <v/>
      </c>
      <c r="U68" s="93"/>
      <c r="V68" s="107" t="str">
        <f t="shared" si="4"/>
        <v/>
      </c>
      <c r="W68" s="107" t="str">
        <f t="shared" si="5"/>
        <v/>
      </c>
    </row>
    <row r="69" ht="18.75" customHeight="1">
      <c r="A69" s="93"/>
      <c r="B69" s="93"/>
      <c r="C69" s="166"/>
      <c r="D69" s="166"/>
      <c r="E69" s="166"/>
      <c r="F69" s="166"/>
      <c r="G69" s="177"/>
      <c r="H69" s="182"/>
      <c r="I69" s="170"/>
      <c r="J69" s="169"/>
      <c r="K69" s="169"/>
      <c r="L69" s="183"/>
      <c r="M69" s="180"/>
      <c r="N69" s="181"/>
      <c r="O69" s="93"/>
      <c r="P69" s="93"/>
      <c r="Q69" s="93" t="str">
        <f t="shared" si="19"/>
        <v/>
      </c>
      <c r="R69" s="93" t="str">
        <f t="shared" si="20"/>
        <v/>
      </c>
      <c r="S69" s="93" t="str">
        <f t="shared" si="21"/>
        <v/>
      </c>
      <c r="T69" s="93" t="str">
        <f t="shared" si="22"/>
        <v/>
      </c>
      <c r="U69" s="93"/>
      <c r="V69" s="107" t="str">
        <f t="shared" si="4"/>
        <v/>
      </c>
      <c r="W69" s="107" t="str">
        <f t="shared" si="5"/>
        <v/>
      </c>
    </row>
    <row r="70" ht="18.75" customHeight="1">
      <c r="A70" s="93"/>
      <c r="B70" s="93"/>
      <c r="C70" s="166"/>
      <c r="D70" s="166"/>
      <c r="E70" s="166"/>
      <c r="F70" s="166"/>
      <c r="G70" s="177"/>
      <c r="H70" s="182"/>
      <c r="I70" s="170"/>
      <c r="J70" s="169"/>
      <c r="K70" s="169"/>
      <c r="L70" s="183"/>
      <c r="M70" s="180"/>
      <c r="N70" s="181"/>
      <c r="O70" s="93"/>
      <c r="P70" s="93"/>
      <c r="Q70" s="93" t="str">
        <f t="shared" si="19"/>
        <v/>
      </c>
      <c r="R70" s="93" t="str">
        <f t="shared" si="20"/>
        <v/>
      </c>
      <c r="S70" s="93" t="str">
        <f t="shared" si="21"/>
        <v/>
      </c>
      <c r="T70" s="93" t="str">
        <f t="shared" si="22"/>
        <v/>
      </c>
      <c r="U70" s="93"/>
      <c r="V70" s="107" t="str">
        <f t="shared" si="4"/>
        <v/>
      </c>
      <c r="W70" s="107" t="str">
        <f t="shared" si="5"/>
        <v/>
      </c>
    </row>
    <row r="71" ht="18.75" customHeight="1">
      <c r="A71" s="93"/>
      <c r="B71" s="93"/>
      <c r="C71" s="166"/>
      <c r="D71" s="166"/>
      <c r="E71" s="166"/>
      <c r="F71" s="166"/>
      <c r="G71" s="177"/>
      <c r="H71" s="182"/>
      <c r="I71" s="170"/>
      <c r="J71" s="169"/>
      <c r="K71" s="169"/>
      <c r="L71" s="183"/>
      <c r="M71" s="180"/>
      <c r="N71" s="181"/>
      <c r="O71" s="93"/>
      <c r="P71" s="93"/>
      <c r="Q71" s="93" t="str">
        <f t="shared" si="19"/>
        <v/>
      </c>
      <c r="R71" s="93" t="str">
        <f t="shared" si="20"/>
        <v/>
      </c>
      <c r="S71" s="93" t="str">
        <f t="shared" si="21"/>
        <v/>
      </c>
      <c r="T71" s="93" t="str">
        <f t="shared" si="22"/>
        <v/>
      </c>
      <c r="U71" s="93"/>
      <c r="V71" s="107" t="str">
        <f t="shared" si="4"/>
        <v/>
      </c>
      <c r="W71" s="107" t="str">
        <f t="shared" si="5"/>
        <v/>
      </c>
    </row>
    <row r="72" ht="18.75" customHeight="1">
      <c r="A72" s="93"/>
      <c r="B72" s="93"/>
      <c r="C72" s="166"/>
      <c r="D72" s="166"/>
      <c r="E72" s="166"/>
      <c r="F72" s="166"/>
      <c r="G72" s="177"/>
      <c r="H72" s="182"/>
      <c r="I72" s="170"/>
      <c r="J72" s="169"/>
      <c r="K72" s="169"/>
      <c r="L72" s="183"/>
      <c r="M72" s="180"/>
      <c r="N72" s="181"/>
      <c r="O72" s="93"/>
      <c r="P72" s="93"/>
      <c r="Q72" s="93" t="str">
        <f t="shared" si="19"/>
        <v/>
      </c>
      <c r="R72" s="93" t="str">
        <f t="shared" si="20"/>
        <v/>
      </c>
      <c r="S72" s="93" t="str">
        <f t="shared" si="21"/>
        <v/>
      </c>
      <c r="T72" s="93" t="str">
        <f t="shared" si="22"/>
        <v/>
      </c>
      <c r="U72" s="93"/>
      <c r="V72" s="107" t="str">
        <f t="shared" si="4"/>
        <v/>
      </c>
      <c r="W72" s="107" t="str">
        <f t="shared" si="5"/>
        <v/>
      </c>
    </row>
    <row r="73" ht="18.75" customHeight="1">
      <c r="A73" s="93"/>
      <c r="B73" s="93"/>
      <c r="C73" s="166"/>
      <c r="D73" s="166"/>
      <c r="E73" s="166"/>
      <c r="F73" s="166"/>
      <c r="G73" s="177"/>
      <c r="H73" s="182"/>
      <c r="I73" s="170"/>
      <c r="J73" s="169"/>
      <c r="K73" s="169"/>
      <c r="L73" s="183"/>
      <c r="M73" s="180"/>
      <c r="N73" s="181"/>
      <c r="O73" s="93"/>
      <c r="P73" s="93"/>
      <c r="Q73" s="93" t="str">
        <f t="shared" si="19"/>
        <v/>
      </c>
      <c r="R73" s="93" t="str">
        <f t="shared" si="20"/>
        <v/>
      </c>
      <c r="S73" s="93" t="str">
        <f t="shared" si="21"/>
        <v/>
      </c>
      <c r="T73" s="93" t="str">
        <f t="shared" si="22"/>
        <v/>
      </c>
      <c r="U73" s="93"/>
      <c r="V73" s="107" t="str">
        <f t="shared" si="4"/>
        <v/>
      </c>
      <c r="W73" s="107" t="str">
        <f t="shared" si="5"/>
        <v/>
      </c>
    </row>
    <row r="74" ht="18.75" customHeight="1">
      <c r="A74" s="93"/>
      <c r="B74" s="93"/>
      <c r="C74" s="166"/>
      <c r="D74" s="166"/>
      <c r="E74" s="166"/>
      <c r="F74" s="166"/>
      <c r="G74" s="177"/>
      <c r="H74" s="182"/>
      <c r="I74" s="170"/>
      <c r="J74" s="169"/>
      <c r="K74" s="169"/>
      <c r="L74" s="183"/>
      <c r="M74" s="180"/>
      <c r="N74" s="181"/>
      <c r="O74" s="93"/>
      <c r="P74" s="93"/>
      <c r="Q74" s="93" t="str">
        <f t="shared" si="19"/>
        <v/>
      </c>
      <c r="R74" s="93" t="str">
        <f t="shared" si="20"/>
        <v/>
      </c>
      <c r="S74" s="93" t="str">
        <f t="shared" si="21"/>
        <v/>
      </c>
      <c r="T74" s="93" t="str">
        <f t="shared" si="22"/>
        <v/>
      </c>
      <c r="U74" s="93"/>
      <c r="V74" s="107" t="str">
        <f t="shared" si="4"/>
        <v/>
      </c>
      <c r="W74" s="107" t="str">
        <f t="shared" si="5"/>
        <v/>
      </c>
    </row>
    <row r="75" ht="18.75" customHeight="1">
      <c r="A75" s="93"/>
      <c r="B75" s="93"/>
      <c r="C75" s="166"/>
      <c r="D75" s="166"/>
      <c r="E75" s="166"/>
      <c r="F75" s="166"/>
      <c r="G75" s="177"/>
      <c r="H75" s="182"/>
      <c r="I75" s="170"/>
      <c r="J75" s="169"/>
      <c r="K75" s="169"/>
      <c r="L75" s="183"/>
      <c r="M75" s="180"/>
      <c r="N75" s="181"/>
      <c r="O75" s="93"/>
      <c r="P75" s="93"/>
      <c r="Q75" s="93" t="str">
        <f t="shared" si="19"/>
        <v/>
      </c>
      <c r="R75" s="93" t="str">
        <f t="shared" si="20"/>
        <v/>
      </c>
      <c r="S75" s="93" t="str">
        <f t="shared" si="21"/>
        <v/>
      </c>
      <c r="T75" s="93" t="str">
        <f t="shared" si="22"/>
        <v/>
      </c>
      <c r="U75" s="93"/>
      <c r="V75" s="107" t="str">
        <f t="shared" si="4"/>
        <v/>
      </c>
      <c r="W75" s="107" t="str">
        <f t="shared" si="5"/>
        <v/>
      </c>
    </row>
    <row r="76" ht="18.75" customHeight="1">
      <c r="A76" s="93"/>
      <c r="B76" s="93"/>
      <c r="C76" s="166"/>
      <c r="D76" s="166"/>
      <c r="E76" s="166"/>
      <c r="F76" s="166"/>
      <c r="G76" s="177"/>
      <c r="H76" s="182"/>
      <c r="I76" s="170"/>
      <c r="J76" s="169"/>
      <c r="K76" s="169"/>
      <c r="L76" s="183"/>
      <c r="M76" s="180"/>
      <c r="N76" s="181"/>
      <c r="O76" s="93"/>
      <c r="P76" s="93"/>
      <c r="Q76" s="93" t="str">
        <f t="shared" si="19"/>
        <v/>
      </c>
      <c r="R76" s="93" t="str">
        <f t="shared" si="20"/>
        <v/>
      </c>
      <c r="S76" s="93" t="str">
        <f t="shared" si="21"/>
        <v/>
      </c>
      <c r="T76" s="93" t="str">
        <f t="shared" si="22"/>
        <v/>
      </c>
      <c r="U76" s="93"/>
      <c r="V76" s="107" t="str">
        <f t="shared" si="4"/>
        <v/>
      </c>
      <c r="W76" s="107" t="str">
        <f t="shared" si="5"/>
        <v/>
      </c>
    </row>
    <row r="77" ht="18.75" customHeight="1">
      <c r="A77" s="93"/>
      <c r="B77" s="93"/>
      <c r="C77" s="166"/>
      <c r="D77" s="166"/>
      <c r="E77" s="166"/>
      <c r="F77" s="166"/>
      <c r="G77" s="177"/>
      <c r="H77" s="182"/>
      <c r="I77" s="170"/>
      <c r="J77" s="169"/>
      <c r="K77" s="169"/>
      <c r="L77" s="183"/>
      <c r="M77" s="180"/>
      <c r="N77" s="181"/>
      <c r="O77" s="93"/>
      <c r="P77" s="93"/>
      <c r="Q77" s="93" t="str">
        <f t="shared" si="19"/>
        <v/>
      </c>
      <c r="R77" s="93" t="str">
        <f t="shared" si="20"/>
        <v/>
      </c>
      <c r="S77" s="93" t="str">
        <f t="shared" si="21"/>
        <v/>
      </c>
      <c r="T77" s="93" t="str">
        <f t="shared" si="22"/>
        <v/>
      </c>
      <c r="U77" s="93"/>
      <c r="V77" s="107" t="str">
        <f t="shared" si="4"/>
        <v/>
      </c>
      <c r="W77" s="107" t="str">
        <f t="shared" si="5"/>
        <v/>
      </c>
    </row>
    <row r="78" ht="18.75" customHeight="1">
      <c r="A78" s="93"/>
      <c r="B78" s="93"/>
      <c r="C78" s="166"/>
      <c r="D78" s="166"/>
      <c r="E78" s="166"/>
      <c r="F78" s="166"/>
      <c r="G78" s="177"/>
      <c r="H78" s="182"/>
      <c r="I78" s="170"/>
      <c r="J78" s="169"/>
      <c r="K78" s="169"/>
      <c r="L78" s="183"/>
      <c r="M78" s="180"/>
      <c r="N78" s="181"/>
      <c r="O78" s="93"/>
      <c r="P78" s="93"/>
      <c r="Q78" s="93" t="str">
        <f t="shared" si="19"/>
        <v/>
      </c>
      <c r="R78" s="93" t="str">
        <f t="shared" si="20"/>
        <v/>
      </c>
      <c r="S78" s="93" t="str">
        <f t="shared" si="21"/>
        <v/>
      </c>
      <c r="T78" s="93" t="str">
        <f t="shared" si="22"/>
        <v/>
      </c>
      <c r="U78" s="93"/>
      <c r="V78" s="107" t="str">
        <f t="shared" ref="V78:V89" si="23">if(L78="","", left(L78, find(" x ",L78)))</f>
        <v/>
      </c>
      <c r="W78" s="107" t="str">
        <f t="shared" si="5"/>
        <v/>
      </c>
    </row>
    <row r="79" ht="18.75" customHeight="1">
      <c r="A79" s="93"/>
      <c r="B79" s="93"/>
      <c r="C79" s="166"/>
      <c r="D79" s="166"/>
      <c r="E79" s="166"/>
      <c r="F79" s="166"/>
      <c r="G79" s="177"/>
      <c r="H79" s="182"/>
      <c r="I79" s="170"/>
      <c r="J79" s="169"/>
      <c r="K79" s="169"/>
      <c r="L79" s="183"/>
      <c r="M79" s="180"/>
      <c r="N79" s="181"/>
      <c r="O79" s="93"/>
      <c r="P79" s="93"/>
      <c r="Q79" s="93" t="str">
        <f t="shared" si="19"/>
        <v/>
      </c>
      <c r="R79" s="93" t="str">
        <f t="shared" si="20"/>
        <v/>
      </c>
      <c r="S79" s="93" t="str">
        <f t="shared" si="21"/>
        <v/>
      </c>
      <c r="T79" s="93" t="str">
        <f t="shared" si="22"/>
        <v/>
      </c>
      <c r="U79" s="93"/>
      <c r="V79" s="107" t="str">
        <f t="shared" si="23"/>
        <v/>
      </c>
      <c r="W79" s="107" t="str">
        <f t="shared" si="5"/>
        <v/>
      </c>
    </row>
    <row r="80" ht="18.75" customHeight="1">
      <c r="A80" s="93"/>
      <c r="B80" s="93"/>
      <c r="C80" s="166"/>
      <c r="D80" s="166"/>
      <c r="E80" s="166"/>
      <c r="F80" s="166"/>
      <c r="G80" s="177"/>
      <c r="H80" s="182"/>
      <c r="I80" s="170"/>
      <c r="J80" s="169"/>
      <c r="K80" s="169"/>
      <c r="L80" s="183"/>
      <c r="M80" s="180"/>
      <c r="N80" s="181"/>
      <c r="O80" s="93"/>
      <c r="P80" s="93"/>
      <c r="Q80" s="93" t="str">
        <f t="shared" si="19"/>
        <v/>
      </c>
      <c r="R80" s="93" t="str">
        <f t="shared" si="20"/>
        <v/>
      </c>
      <c r="S80" s="93" t="str">
        <f t="shared" si="21"/>
        <v/>
      </c>
      <c r="T80" s="93" t="str">
        <f t="shared" si="22"/>
        <v/>
      </c>
      <c r="U80" s="93"/>
      <c r="V80" s="107" t="str">
        <f t="shared" si="23"/>
        <v/>
      </c>
      <c r="W80" s="107" t="str">
        <f t="shared" si="5"/>
        <v/>
      </c>
    </row>
    <row r="81" ht="18.75" customHeight="1">
      <c r="A81" s="93"/>
      <c r="B81" s="93"/>
      <c r="C81" s="166"/>
      <c r="D81" s="166"/>
      <c r="E81" s="166"/>
      <c r="F81" s="166"/>
      <c r="G81" s="177"/>
      <c r="H81" s="182"/>
      <c r="I81" s="170"/>
      <c r="J81" s="169"/>
      <c r="K81" s="169"/>
      <c r="L81" s="183"/>
      <c r="M81" s="180"/>
      <c r="N81" s="181"/>
      <c r="O81" s="93"/>
      <c r="P81" s="93"/>
      <c r="Q81" s="93" t="str">
        <f t="shared" si="19"/>
        <v/>
      </c>
      <c r="R81" s="93" t="str">
        <f t="shared" si="20"/>
        <v/>
      </c>
      <c r="S81" s="93" t="str">
        <f t="shared" si="21"/>
        <v/>
      </c>
      <c r="T81" s="93" t="str">
        <f t="shared" si="22"/>
        <v/>
      </c>
      <c r="U81" s="93"/>
      <c r="V81" s="107" t="str">
        <f t="shared" si="23"/>
        <v/>
      </c>
      <c r="W81" s="107" t="str">
        <f t="shared" si="5"/>
        <v/>
      </c>
    </row>
    <row r="82" ht="18.75" customHeight="1">
      <c r="A82" s="93"/>
      <c r="B82" s="93"/>
      <c r="C82" s="166"/>
      <c r="D82" s="166"/>
      <c r="E82" s="166"/>
      <c r="F82" s="166"/>
      <c r="G82" s="177"/>
      <c r="H82" s="182"/>
      <c r="I82" s="170"/>
      <c r="J82" s="169"/>
      <c r="K82" s="169"/>
      <c r="L82" s="183"/>
      <c r="M82" s="180"/>
      <c r="N82" s="181"/>
      <c r="O82" s="93"/>
      <c r="P82" s="93"/>
      <c r="Q82" s="93" t="str">
        <f t="shared" si="19"/>
        <v/>
      </c>
      <c r="R82" s="93" t="str">
        <f t="shared" si="20"/>
        <v/>
      </c>
      <c r="S82" s="93" t="str">
        <f t="shared" si="21"/>
        <v/>
      </c>
      <c r="T82" s="93" t="str">
        <f t="shared" si="22"/>
        <v/>
      </c>
      <c r="U82" s="93"/>
      <c r="V82" s="107" t="str">
        <f t="shared" si="23"/>
        <v/>
      </c>
      <c r="W82" s="107" t="str">
        <f t="shared" si="5"/>
        <v/>
      </c>
    </row>
    <row r="83" ht="18.75" customHeight="1">
      <c r="A83" s="93"/>
      <c r="B83" s="93"/>
      <c r="C83" s="166"/>
      <c r="D83" s="166"/>
      <c r="E83" s="166"/>
      <c r="F83" s="166"/>
      <c r="G83" s="177"/>
      <c r="H83" s="182"/>
      <c r="I83" s="170"/>
      <c r="J83" s="169"/>
      <c r="K83" s="169"/>
      <c r="L83" s="183"/>
      <c r="M83" s="180"/>
      <c r="N83" s="181"/>
      <c r="O83" s="93"/>
      <c r="P83" s="93"/>
      <c r="Q83" s="93" t="str">
        <f t="shared" si="19"/>
        <v/>
      </c>
      <c r="R83" s="93" t="str">
        <f t="shared" si="20"/>
        <v/>
      </c>
      <c r="S83" s="93" t="str">
        <f t="shared" si="21"/>
        <v/>
      </c>
      <c r="T83" s="93" t="str">
        <f t="shared" si="22"/>
        <v/>
      </c>
      <c r="U83" s="93"/>
      <c r="V83" s="107" t="str">
        <f t="shared" si="23"/>
        <v/>
      </c>
      <c r="W83" s="107" t="str">
        <f t="shared" si="5"/>
        <v/>
      </c>
    </row>
    <row r="84" ht="18.75" customHeight="1">
      <c r="A84" s="93"/>
      <c r="B84" s="93"/>
      <c r="C84" s="166"/>
      <c r="D84" s="166"/>
      <c r="E84" s="166"/>
      <c r="F84" s="166"/>
      <c r="G84" s="177"/>
      <c r="H84" s="182"/>
      <c r="I84" s="170"/>
      <c r="J84" s="169"/>
      <c r="K84" s="169"/>
      <c r="L84" s="183"/>
      <c r="M84" s="180"/>
      <c r="N84" s="181"/>
      <c r="O84" s="93"/>
      <c r="P84" s="93"/>
      <c r="Q84" s="93" t="str">
        <f t="shared" si="19"/>
        <v/>
      </c>
      <c r="R84" s="93" t="str">
        <f t="shared" si="20"/>
        <v/>
      </c>
      <c r="S84" s="93" t="str">
        <f t="shared" si="21"/>
        <v/>
      </c>
      <c r="T84" s="93" t="str">
        <f t="shared" si="22"/>
        <v/>
      </c>
      <c r="U84" s="93"/>
      <c r="V84" s="107" t="str">
        <f t="shared" si="23"/>
        <v/>
      </c>
      <c r="W84" s="107" t="str">
        <f t="shared" si="5"/>
        <v/>
      </c>
    </row>
    <row r="85" ht="18.75" customHeight="1">
      <c r="A85" s="93"/>
      <c r="B85" s="93"/>
      <c r="C85" s="166"/>
      <c r="D85" s="166"/>
      <c r="E85" s="166"/>
      <c r="F85" s="166"/>
      <c r="G85" s="177"/>
      <c r="H85" s="182"/>
      <c r="I85" s="170"/>
      <c r="J85" s="169"/>
      <c r="K85" s="169"/>
      <c r="L85" s="183"/>
      <c r="M85" s="180"/>
      <c r="N85" s="181"/>
      <c r="O85" s="93"/>
      <c r="P85" s="93"/>
      <c r="Q85" s="93" t="str">
        <f t="shared" ref="Q85:Q101" si="24">if(P85="","", sumif(V$3:W122,P85,G$3:G122))</f>
        <v/>
      </c>
      <c r="R85" s="93" t="str">
        <f t="shared" si="20"/>
        <v/>
      </c>
      <c r="S85" s="93" t="str">
        <f t="shared" si="21"/>
        <v/>
      </c>
      <c r="T85" s="93" t="str">
        <f t="shared" si="22"/>
        <v/>
      </c>
      <c r="U85" s="93"/>
      <c r="V85" s="107" t="str">
        <f t="shared" si="23"/>
        <v/>
      </c>
      <c r="W85" s="107" t="str">
        <f t="shared" si="5"/>
        <v/>
      </c>
    </row>
    <row r="86" ht="18.75" customHeight="1">
      <c r="A86" s="93"/>
      <c r="B86" s="93"/>
      <c r="C86" s="166"/>
      <c r="D86" s="166"/>
      <c r="E86" s="166"/>
      <c r="F86" s="166"/>
      <c r="G86" s="177"/>
      <c r="H86" s="182"/>
      <c r="I86" s="170"/>
      <c r="J86" s="169"/>
      <c r="K86" s="169"/>
      <c r="L86" s="183"/>
      <c r="M86" s="180"/>
      <c r="N86" s="181"/>
      <c r="O86" s="93"/>
      <c r="P86" s="93"/>
      <c r="Q86" s="93" t="str">
        <f t="shared" si="24"/>
        <v/>
      </c>
      <c r="R86" s="93" t="str">
        <f t="shared" si="20"/>
        <v/>
      </c>
      <c r="S86" s="93" t="str">
        <f t="shared" si="21"/>
        <v/>
      </c>
      <c r="T86" s="93" t="str">
        <f t="shared" si="22"/>
        <v/>
      </c>
      <c r="U86" s="93"/>
      <c r="V86" s="107" t="str">
        <f t="shared" si="23"/>
        <v/>
      </c>
      <c r="W86" s="107" t="str">
        <f t="shared" si="5"/>
        <v/>
      </c>
    </row>
    <row r="87" ht="18.75" customHeight="1">
      <c r="A87" s="93"/>
      <c r="B87" s="93"/>
      <c r="C87" s="166"/>
      <c r="D87" s="166"/>
      <c r="E87" s="166"/>
      <c r="F87" s="166"/>
      <c r="G87" s="177"/>
      <c r="H87" s="182"/>
      <c r="I87" s="170"/>
      <c r="J87" s="169"/>
      <c r="K87" s="169"/>
      <c r="L87" s="183"/>
      <c r="M87" s="180"/>
      <c r="N87" s="181"/>
      <c r="O87" s="93"/>
      <c r="P87" s="93"/>
      <c r="Q87" s="93" t="str">
        <f t="shared" si="24"/>
        <v/>
      </c>
      <c r="R87" s="93" t="str">
        <f t="shared" si="20"/>
        <v/>
      </c>
      <c r="S87" s="93" t="str">
        <f t="shared" si="21"/>
        <v/>
      </c>
      <c r="T87" s="93" t="str">
        <f t="shared" si="22"/>
        <v/>
      </c>
      <c r="U87" s="93"/>
      <c r="V87" s="107" t="str">
        <f t="shared" si="23"/>
        <v/>
      </c>
      <c r="W87" s="107" t="str">
        <f t="shared" si="5"/>
        <v/>
      </c>
    </row>
    <row r="88" ht="18.75" customHeight="1">
      <c r="A88" s="93"/>
      <c r="B88" s="93"/>
      <c r="C88" s="166"/>
      <c r="D88" s="166"/>
      <c r="E88" s="166"/>
      <c r="F88" s="166"/>
      <c r="G88" s="177"/>
      <c r="H88" s="182"/>
      <c r="I88" s="170"/>
      <c r="J88" s="169"/>
      <c r="K88" s="169"/>
      <c r="L88" s="183"/>
      <c r="M88" s="180"/>
      <c r="N88" s="181"/>
      <c r="O88" s="93"/>
      <c r="P88" s="93"/>
      <c r="Q88" s="93" t="str">
        <f t="shared" si="24"/>
        <v/>
      </c>
      <c r="R88" s="93" t="str">
        <f t="shared" si="20"/>
        <v/>
      </c>
      <c r="S88" s="93" t="str">
        <f t="shared" si="21"/>
        <v/>
      </c>
      <c r="T88" s="93" t="str">
        <f t="shared" si="22"/>
        <v/>
      </c>
      <c r="U88" s="93"/>
      <c r="V88" s="107" t="str">
        <f t="shared" si="23"/>
        <v/>
      </c>
      <c r="W88" s="107" t="str">
        <f t="shared" si="5"/>
        <v/>
      </c>
    </row>
    <row r="89" ht="18.75" customHeight="1">
      <c r="A89" s="93"/>
      <c r="B89" s="93"/>
      <c r="C89" s="166"/>
      <c r="D89" s="166"/>
      <c r="E89" s="166"/>
      <c r="F89" s="166"/>
      <c r="G89" s="177"/>
      <c r="H89" s="182"/>
      <c r="I89" s="170"/>
      <c r="J89" s="169"/>
      <c r="K89" s="169"/>
      <c r="L89" s="183"/>
      <c r="M89" s="180"/>
      <c r="N89" s="181"/>
      <c r="O89" s="93"/>
      <c r="P89" s="93"/>
      <c r="Q89" s="93" t="str">
        <f t="shared" si="24"/>
        <v/>
      </c>
      <c r="R89" s="93" t="str">
        <f t="shared" si="20"/>
        <v/>
      </c>
      <c r="S89" s="93" t="str">
        <f t="shared" si="21"/>
        <v/>
      </c>
      <c r="T89" s="93" t="str">
        <f t="shared" si="22"/>
        <v/>
      </c>
      <c r="U89" s="93"/>
      <c r="V89" s="107" t="str">
        <f t="shared" si="23"/>
        <v/>
      </c>
      <c r="W89" s="107" t="str">
        <f t="shared" si="5"/>
        <v/>
      </c>
    </row>
    <row r="90" ht="18.75" customHeight="1">
      <c r="A90" s="93"/>
      <c r="B90" s="93"/>
      <c r="C90" s="166"/>
      <c r="D90" s="166"/>
      <c r="E90" s="166"/>
      <c r="F90" s="166"/>
      <c r="G90" s="177"/>
      <c r="H90" s="182"/>
      <c r="I90" s="170"/>
      <c r="J90" s="169"/>
      <c r="K90" s="169"/>
      <c r="L90" s="183"/>
      <c r="M90" s="180"/>
      <c r="N90" s="181"/>
      <c r="O90" s="93"/>
      <c r="P90" s="93"/>
      <c r="Q90" s="93" t="str">
        <f t="shared" si="24"/>
        <v/>
      </c>
      <c r="R90" s="93" t="str">
        <f t="shared" si="20"/>
        <v/>
      </c>
      <c r="S90" s="93" t="str">
        <f t="shared" si="21"/>
        <v/>
      </c>
      <c r="T90" s="93" t="str">
        <f t="shared" si="22"/>
        <v/>
      </c>
      <c r="U90" s="93"/>
      <c r="V90" s="107"/>
      <c r="W90" s="107"/>
    </row>
    <row r="91" ht="18.75" customHeight="1">
      <c r="A91" s="93"/>
      <c r="B91" s="93"/>
      <c r="C91" s="166"/>
      <c r="D91" s="166"/>
      <c r="E91" s="166"/>
      <c r="F91" s="166"/>
      <c r="G91" s="177"/>
      <c r="H91" s="182"/>
      <c r="I91" s="170"/>
      <c r="J91" s="169"/>
      <c r="K91" s="169"/>
      <c r="L91" s="183"/>
      <c r="M91" s="180"/>
      <c r="N91" s="181"/>
      <c r="O91" s="93"/>
      <c r="P91" s="93"/>
      <c r="Q91" s="93" t="str">
        <f t="shared" si="24"/>
        <v/>
      </c>
      <c r="R91" s="93" t="str">
        <f t="shared" si="20"/>
        <v/>
      </c>
      <c r="S91" s="93" t="str">
        <f t="shared" si="21"/>
        <v/>
      </c>
      <c r="T91" s="93" t="str">
        <f t="shared" si="22"/>
        <v/>
      </c>
      <c r="U91" s="93"/>
      <c r="V91" s="107"/>
      <c r="W91" s="107"/>
    </row>
    <row r="92" ht="18.75" customHeight="1">
      <c r="A92" s="93"/>
      <c r="B92" s="93"/>
      <c r="C92" s="166"/>
      <c r="D92" s="166"/>
      <c r="E92" s="166"/>
      <c r="F92" s="166"/>
      <c r="G92" s="177"/>
      <c r="H92" s="182"/>
      <c r="I92" s="170"/>
      <c r="J92" s="169"/>
      <c r="K92" s="169"/>
      <c r="L92" s="183"/>
      <c r="M92" s="180"/>
      <c r="N92" s="181"/>
      <c r="O92" s="93"/>
      <c r="P92" s="93"/>
      <c r="Q92" s="93" t="str">
        <f t="shared" si="24"/>
        <v/>
      </c>
      <c r="R92" s="93" t="str">
        <f t="shared" si="20"/>
        <v/>
      </c>
      <c r="S92" s="93" t="str">
        <f t="shared" si="21"/>
        <v/>
      </c>
      <c r="T92" s="93" t="str">
        <f t="shared" si="22"/>
        <v/>
      </c>
      <c r="U92" s="93"/>
      <c r="V92" s="107"/>
      <c r="W92" s="107"/>
    </row>
    <row r="93" ht="18.75" customHeight="1">
      <c r="A93" s="93"/>
      <c r="B93" s="93"/>
      <c r="C93" s="166"/>
      <c r="D93" s="166"/>
      <c r="E93" s="166"/>
      <c r="F93" s="166"/>
      <c r="G93" s="177"/>
      <c r="H93" s="182"/>
      <c r="I93" s="170"/>
      <c r="J93" s="169"/>
      <c r="K93" s="169"/>
      <c r="L93" s="183"/>
      <c r="M93" s="180"/>
      <c r="N93" s="181"/>
      <c r="O93" s="93"/>
      <c r="P93" s="93"/>
      <c r="Q93" s="93" t="str">
        <f t="shared" si="24"/>
        <v/>
      </c>
      <c r="R93" s="93" t="str">
        <f t="shared" si="20"/>
        <v/>
      </c>
      <c r="S93" s="93" t="str">
        <f t="shared" si="21"/>
        <v/>
      </c>
      <c r="T93" s="93" t="str">
        <f t="shared" si="22"/>
        <v/>
      </c>
      <c r="U93" s="93"/>
      <c r="V93" s="107"/>
      <c r="W93" s="107"/>
    </row>
    <row r="94" ht="18.75" customHeight="1">
      <c r="A94" s="93"/>
      <c r="B94" s="93"/>
      <c r="C94" s="166"/>
      <c r="D94" s="166"/>
      <c r="E94" s="166"/>
      <c r="F94" s="166"/>
      <c r="G94" s="177"/>
      <c r="H94" s="182"/>
      <c r="I94" s="170"/>
      <c r="J94" s="169"/>
      <c r="K94" s="169"/>
      <c r="L94" s="183"/>
      <c r="M94" s="180"/>
      <c r="N94" s="181"/>
      <c r="O94" s="93"/>
      <c r="P94" s="93"/>
      <c r="Q94" s="93" t="str">
        <f t="shared" si="24"/>
        <v/>
      </c>
      <c r="R94" s="93" t="str">
        <f t="shared" si="20"/>
        <v/>
      </c>
      <c r="S94" s="93" t="str">
        <f t="shared" si="21"/>
        <v/>
      </c>
      <c r="T94" s="93" t="str">
        <f t="shared" si="22"/>
        <v/>
      </c>
      <c r="U94" s="93"/>
      <c r="V94" s="107"/>
      <c r="W94" s="107"/>
    </row>
    <row r="95" ht="18.75" customHeight="1">
      <c r="A95" s="93"/>
      <c r="B95" s="93"/>
      <c r="C95" s="166"/>
      <c r="D95" s="166"/>
      <c r="E95" s="166"/>
      <c r="F95" s="166"/>
      <c r="G95" s="177"/>
      <c r="H95" s="182"/>
      <c r="I95" s="170"/>
      <c r="J95" s="169"/>
      <c r="K95" s="169"/>
      <c r="L95" s="183"/>
      <c r="M95" s="180"/>
      <c r="N95" s="181"/>
      <c r="O95" s="93"/>
      <c r="P95" s="93"/>
      <c r="Q95" s="93" t="str">
        <f t="shared" si="24"/>
        <v/>
      </c>
      <c r="R95" s="93" t="str">
        <f t="shared" si="20"/>
        <v/>
      </c>
      <c r="S95" s="93" t="str">
        <f t="shared" si="21"/>
        <v/>
      </c>
      <c r="T95" s="93" t="str">
        <f t="shared" si="22"/>
        <v/>
      </c>
      <c r="U95" s="93"/>
      <c r="V95" s="107"/>
      <c r="W95" s="107"/>
    </row>
    <row r="96" ht="18.75" customHeight="1">
      <c r="A96" s="93"/>
      <c r="B96" s="93"/>
      <c r="C96" s="166"/>
      <c r="D96" s="166"/>
      <c r="E96" s="166"/>
      <c r="F96" s="166"/>
      <c r="G96" s="177"/>
      <c r="H96" s="182"/>
      <c r="I96" s="170"/>
      <c r="J96" s="169"/>
      <c r="K96" s="169"/>
      <c r="L96" s="183"/>
      <c r="M96" s="180"/>
      <c r="N96" s="181"/>
      <c r="O96" s="93"/>
      <c r="P96" s="93"/>
      <c r="Q96" s="93" t="str">
        <f t="shared" si="24"/>
        <v/>
      </c>
      <c r="R96" s="93" t="str">
        <f t="shared" si="20"/>
        <v/>
      </c>
      <c r="S96" s="93" t="str">
        <f t="shared" si="21"/>
        <v/>
      </c>
      <c r="T96" s="93" t="str">
        <f t="shared" si="22"/>
        <v/>
      </c>
      <c r="U96" s="93"/>
      <c r="V96" s="107"/>
      <c r="W96" s="107"/>
    </row>
    <row r="97" ht="18.75" customHeight="1">
      <c r="A97" s="93"/>
      <c r="B97" s="93"/>
      <c r="C97" s="166"/>
      <c r="D97" s="166"/>
      <c r="E97" s="166"/>
      <c r="F97" s="166"/>
      <c r="G97" s="177"/>
      <c r="H97" s="182"/>
      <c r="I97" s="170"/>
      <c r="J97" s="169"/>
      <c r="K97" s="169"/>
      <c r="L97" s="183"/>
      <c r="M97" s="180"/>
      <c r="N97" s="181"/>
      <c r="O97" s="93"/>
      <c r="P97" s="93"/>
      <c r="Q97" s="93" t="str">
        <f t="shared" si="24"/>
        <v/>
      </c>
      <c r="R97" s="93" t="str">
        <f t="shared" si="20"/>
        <v/>
      </c>
      <c r="S97" s="93" t="str">
        <f t="shared" si="21"/>
        <v/>
      </c>
      <c r="T97" s="93" t="str">
        <f t="shared" si="22"/>
        <v/>
      </c>
      <c r="U97" s="93"/>
      <c r="V97" s="107"/>
      <c r="W97" s="107"/>
    </row>
    <row r="98" ht="18.75" customHeight="1">
      <c r="A98" s="93"/>
      <c r="B98" s="93"/>
      <c r="C98" s="166"/>
      <c r="D98" s="166"/>
      <c r="E98" s="166"/>
      <c r="F98" s="166"/>
      <c r="G98" s="177"/>
      <c r="H98" s="182"/>
      <c r="I98" s="170"/>
      <c r="J98" s="169"/>
      <c r="K98" s="169"/>
      <c r="L98" s="183"/>
      <c r="M98" s="180"/>
      <c r="N98" s="181"/>
      <c r="O98" s="93"/>
      <c r="P98" s="93"/>
      <c r="Q98" s="93" t="str">
        <f t="shared" si="24"/>
        <v/>
      </c>
      <c r="R98" s="93" t="str">
        <f t="shared" si="20"/>
        <v/>
      </c>
      <c r="S98" s="93" t="str">
        <f t="shared" si="21"/>
        <v/>
      </c>
      <c r="T98" s="93" t="str">
        <f t="shared" si="22"/>
        <v/>
      </c>
      <c r="U98" s="93"/>
      <c r="V98" s="107"/>
      <c r="W98" s="107"/>
    </row>
    <row r="99" ht="18.75" customHeight="1">
      <c r="A99" s="93"/>
      <c r="B99" s="93"/>
      <c r="C99" s="166"/>
      <c r="D99" s="166"/>
      <c r="E99" s="166"/>
      <c r="F99" s="166"/>
      <c r="G99" s="177"/>
      <c r="H99" s="182"/>
      <c r="I99" s="170"/>
      <c r="J99" s="169"/>
      <c r="K99" s="169"/>
      <c r="L99" s="183"/>
      <c r="M99" s="180"/>
      <c r="N99" s="181"/>
      <c r="O99" s="93"/>
      <c r="P99" s="93"/>
      <c r="Q99" s="93" t="str">
        <f t="shared" si="24"/>
        <v/>
      </c>
      <c r="R99" s="93" t="str">
        <f t="shared" si="20"/>
        <v/>
      </c>
      <c r="S99" s="93" t="str">
        <f t="shared" si="21"/>
        <v/>
      </c>
      <c r="T99" s="93" t="str">
        <f t="shared" si="22"/>
        <v/>
      </c>
      <c r="U99" s="93"/>
      <c r="V99" s="107"/>
      <c r="W99" s="107"/>
    </row>
    <row r="100" ht="18.75" customHeight="1">
      <c r="A100" s="93"/>
      <c r="B100" s="93"/>
      <c r="C100" s="166"/>
      <c r="D100" s="166"/>
      <c r="E100" s="166"/>
      <c r="F100" s="166"/>
      <c r="G100" s="177"/>
      <c r="H100" s="182"/>
      <c r="I100" s="170"/>
      <c r="J100" s="169"/>
      <c r="K100" s="169"/>
      <c r="L100" s="183"/>
      <c r="M100" s="180"/>
      <c r="N100" s="181"/>
      <c r="O100" s="93"/>
      <c r="P100" s="93"/>
      <c r="Q100" s="93" t="str">
        <f t="shared" si="24"/>
        <v/>
      </c>
      <c r="R100" s="93" t="str">
        <f t="shared" si="20"/>
        <v/>
      </c>
      <c r="S100" s="93" t="str">
        <f t="shared" si="21"/>
        <v/>
      </c>
      <c r="T100" s="93" t="str">
        <f t="shared" si="22"/>
        <v/>
      </c>
      <c r="U100" s="93"/>
      <c r="V100" s="107"/>
      <c r="W100" s="107"/>
    </row>
    <row r="101" ht="18.75" customHeight="1">
      <c r="A101" s="93"/>
      <c r="B101" s="93"/>
      <c r="C101" s="166"/>
      <c r="D101" s="166"/>
      <c r="E101" s="166"/>
      <c r="F101" s="166"/>
      <c r="G101" s="177"/>
      <c r="H101" s="182"/>
      <c r="I101" s="170"/>
      <c r="J101" s="169"/>
      <c r="K101" s="169"/>
      <c r="L101" s="183"/>
      <c r="M101" s="180"/>
      <c r="N101" s="181"/>
      <c r="O101" s="93"/>
      <c r="P101" s="93"/>
      <c r="Q101" s="93" t="str">
        <f t="shared" si="24"/>
        <v/>
      </c>
      <c r="R101" s="93" t="str">
        <f t="shared" si="20"/>
        <v/>
      </c>
      <c r="S101" s="93" t="str">
        <f t="shared" si="21"/>
        <v/>
      </c>
      <c r="T101" s="93" t="str">
        <f t="shared" si="22"/>
        <v/>
      </c>
      <c r="U101" s="93"/>
      <c r="V101" s="107"/>
      <c r="W101" s="107"/>
    </row>
    <row r="102" ht="18.75" customHeight="1">
      <c r="A102" s="93"/>
      <c r="B102" s="93"/>
      <c r="C102" s="166"/>
      <c r="D102" s="166"/>
      <c r="E102" s="166"/>
      <c r="F102" s="166"/>
      <c r="G102" s="177"/>
      <c r="H102" s="182"/>
      <c r="I102" s="170"/>
      <c r="J102" s="169"/>
      <c r="K102" s="169"/>
      <c r="L102" s="183"/>
      <c r="M102" s="180"/>
      <c r="N102" s="181"/>
      <c r="O102" s="93"/>
      <c r="P102" s="93"/>
      <c r="Q102" s="93"/>
      <c r="R102" s="93"/>
      <c r="S102" s="93"/>
      <c r="T102" s="93"/>
      <c r="U102" s="93"/>
      <c r="V102" s="107"/>
      <c r="W102" s="107"/>
    </row>
    <row r="103" ht="18.75" customHeight="1">
      <c r="A103" s="93"/>
      <c r="B103" s="93"/>
      <c r="C103" s="166"/>
      <c r="D103" s="166"/>
      <c r="E103" s="166"/>
      <c r="F103" s="166"/>
      <c r="G103" s="177"/>
      <c r="H103" s="182"/>
      <c r="I103" s="170"/>
      <c r="J103" s="169"/>
      <c r="K103" s="169"/>
      <c r="L103" s="183"/>
      <c r="M103" s="180"/>
      <c r="N103" s="181"/>
      <c r="O103" s="93"/>
      <c r="P103" s="93"/>
      <c r="Q103" s="93"/>
      <c r="R103" s="93"/>
      <c r="S103" s="93"/>
      <c r="T103" s="93"/>
      <c r="U103" s="93"/>
      <c r="V103" s="107"/>
      <c r="W103" s="107"/>
    </row>
    <row r="104" ht="18.75" customHeight="1">
      <c r="A104" s="93"/>
      <c r="B104" s="93"/>
      <c r="C104" s="166"/>
      <c r="D104" s="166"/>
      <c r="E104" s="166"/>
      <c r="F104" s="166"/>
      <c r="G104" s="177"/>
      <c r="H104" s="182"/>
      <c r="I104" s="170"/>
      <c r="J104" s="169"/>
      <c r="K104" s="169"/>
      <c r="L104" s="183"/>
      <c r="M104" s="180"/>
      <c r="N104" s="181"/>
      <c r="O104" s="93"/>
      <c r="P104" s="93"/>
      <c r="Q104" s="93"/>
      <c r="R104" s="93"/>
      <c r="S104" s="93"/>
      <c r="T104" s="93"/>
      <c r="U104" s="93"/>
      <c r="V104" s="107"/>
      <c r="W104" s="107"/>
    </row>
    <row r="105" ht="18.75" customHeight="1">
      <c r="A105" s="93"/>
      <c r="B105" s="93"/>
      <c r="C105" s="166"/>
      <c r="D105" s="166"/>
      <c r="E105" s="166"/>
      <c r="F105" s="166"/>
      <c r="G105" s="177"/>
      <c r="H105" s="182"/>
      <c r="I105" s="170"/>
      <c r="J105" s="169"/>
      <c r="K105" s="169"/>
      <c r="L105" s="183"/>
      <c r="M105" s="180"/>
      <c r="N105" s="181"/>
      <c r="O105" s="93"/>
      <c r="P105" s="93"/>
      <c r="Q105" s="93"/>
      <c r="R105" s="93"/>
      <c r="S105" s="93"/>
      <c r="T105" s="93"/>
      <c r="U105" s="93"/>
      <c r="V105" s="107"/>
      <c r="W105" s="107"/>
    </row>
    <row r="106" ht="18.75" customHeight="1">
      <c r="A106" s="93"/>
      <c r="B106" s="93"/>
      <c r="C106" s="166"/>
      <c r="D106" s="166"/>
      <c r="E106" s="166"/>
      <c r="F106" s="166"/>
      <c r="G106" s="177"/>
      <c r="H106" s="182"/>
      <c r="I106" s="170"/>
      <c r="J106" s="169"/>
      <c r="K106" s="169"/>
      <c r="L106" s="183"/>
      <c r="M106" s="180"/>
      <c r="N106" s="181"/>
      <c r="O106" s="93"/>
      <c r="P106" s="93"/>
      <c r="Q106" s="93"/>
      <c r="R106" s="93"/>
      <c r="S106" s="93"/>
      <c r="T106" s="93"/>
      <c r="U106" s="93"/>
      <c r="V106" s="107"/>
      <c r="W106" s="107"/>
    </row>
    <row r="107" ht="18.75" customHeight="1">
      <c r="A107" s="93"/>
      <c r="B107" s="93"/>
      <c r="C107" s="166"/>
      <c r="D107" s="166"/>
      <c r="E107" s="166"/>
      <c r="F107" s="166"/>
      <c r="G107" s="177"/>
      <c r="H107" s="182"/>
      <c r="I107" s="170"/>
      <c r="J107" s="169"/>
      <c r="K107" s="169"/>
      <c r="L107" s="183"/>
      <c r="M107" s="180"/>
      <c r="N107" s="181"/>
      <c r="O107" s="93"/>
      <c r="P107" s="93"/>
      <c r="Q107" s="93"/>
      <c r="R107" s="93"/>
      <c r="S107" s="93"/>
      <c r="T107" s="93"/>
      <c r="U107" s="93"/>
      <c r="V107" s="107"/>
      <c r="W107" s="107"/>
    </row>
    <row r="108" ht="18.75" customHeight="1">
      <c r="A108" s="93"/>
      <c r="B108" s="93"/>
      <c r="C108" s="166"/>
      <c r="D108" s="166"/>
      <c r="E108" s="166"/>
      <c r="F108" s="166"/>
      <c r="G108" s="177"/>
      <c r="H108" s="182"/>
      <c r="I108" s="170"/>
      <c r="J108" s="169"/>
      <c r="K108" s="169"/>
      <c r="L108" s="183"/>
      <c r="M108" s="180"/>
      <c r="N108" s="181"/>
      <c r="O108" s="93"/>
      <c r="P108" s="93"/>
      <c r="Q108" s="93"/>
      <c r="R108" s="93"/>
      <c r="S108" s="93"/>
      <c r="T108" s="93"/>
      <c r="U108" s="93"/>
      <c r="V108" s="107"/>
      <c r="W108" s="107"/>
    </row>
    <row r="109" ht="18.75" customHeight="1">
      <c r="A109" s="93"/>
      <c r="B109" s="93"/>
      <c r="C109" s="166"/>
      <c r="D109" s="166"/>
      <c r="E109" s="166"/>
      <c r="F109" s="166"/>
      <c r="G109" s="177"/>
      <c r="H109" s="182"/>
      <c r="I109" s="170"/>
      <c r="J109" s="169"/>
      <c r="K109" s="169"/>
      <c r="L109" s="183"/>
      <c r="M109" s="180"/>
      <c r="N109" s="181"/>
      <c r="O109" s="93"/>
      <c r="P109" s="93"/>
      <c r="Q109" s="93"/>
      <c r="R109" s="93"/>
      <c r="S109" s="93"/>
      <c r="T109" s="93"/>
      <c r="U109" s="93"/>
      <c r="V109" s="107"/>
      <c r="W109" s="107"/>
    </row>
    <row r="110" ht="18.75" customHeight="1">
      <c r="A110" s="93"/>
      <c r="B110" s="93"/>
      <c r="C110" s="166"/>
      <c r="D110" s="166"/>
      <c r="E110" s="166"/>
      <c r="F110" s="166"/>
      <c r="G110" s="177"/>
      <c r="H110" s="182"/>
      <c r="I110" s="170"/>
      <c r="J110" s="169"/>
      <c r="K110" s="169"/>
      <c r="L110" s="183"/>
      <c r="M110" s="180"/>
      <c r="N110" s="181"/>
      <c r="O110" s="93"/>
      <c r="P110" s="93"/>
      <c r="Q110" s="93"/>
      <c r="R110" s="93"/>
      <c r="S110" s="93"/>
      <c r="T110" s="93"/>
      <c r="U110" s="93"/>
      <c r="V110" s="107"/>
      <c r="W110" s="107"/>
    </row>
    <row r="111" ht="18.75" customHeight="1">
      <c r="A111" s="93"/>
      <c r="B111" s="93"/>
      <c r="C111" s="166"/>
      <c r="D111" s="166"/>
      <c r="E111" s="166"/>
      <c r="F111" s="166"/>
      <c r="G111" s="177"/>
      <c r="H111" s="182"/>
      <c r="I111" s="170"/>
      <c r="J111" s="169"/>
      <c r="K111" s="169"/>
      <c r="L111" s="183"/>
      <c r="M111" s="180"/>
      <c r="N111" s="181"/>
      <c r="O111" s="93"/>
      <c r="P111" s="93"/>
      <c r="Q111" s="93"/>
      <c r="R111" s="93"/>
      <c r="S111" s="93"/>
      <c r="T111" s="93"/>
      <c r="U111" s="93"/>
      <c r="V111" s="107"/>
      <c r="W111" s="107"/>
    </row>
    <row r="112" ht="18.75" customHeight="1">
      <c r="A112" s="93"/>
      <c r="B112" s="93"/>
      <c r="C112" s="166"/>
      <c r="D112" s="166"/>
      <c r="E112" s="166"/>
      <c r="F112" s="166"/>
      <c r="G112" s="177"/>
      <c r="H112" s="182"/>
      <c r="I112" s="170"/>
      <c r="J112" s="169"/>
      <c r="K112" s="169"/>
      <c r="L112" s="183"/>
      <c r="M112" s="180"/>
      <c r="N112" s="181"/>
      <c r="O112" s="93"/>
      <c r="P112" s="93"/>
      <c r="Q112" s="93"/>
      <c r="R112" s="93"/>
      <c r="S112" s="93"/>
      <c r="T112" s="93"/>
      <c r="U112" s="93"/>
      <c r="V112" s="107"/>
      <c r="W112" s="107"/>
    </row>
    <row r="113" ht="18.75" customHeight="1">
      <c r="A113" s="93"/>
      <c r="B113" s="93"/>
      <c r="C113" s="166"/>
      <c r="D113" s="166"/>
      <c r="E113" s="166"/>
      <c r="F113" s="166"/>
      <c r="G113" s="177"/>
      <c r="H113" s="182"/>
      <c r="I113" s="170"/>
      <c r="J113" s="169"/>
      <c r="K113" s="169"/>
      <c r="L113" s="183"/>
      <c r="M113" s="180"/>
      <c r="N113" s="186"/>
      <c r="O113" s="93"/>
      <c r="P113" s="93"/>
      <c r="Q113" s="93"/>
      <c r="R113" s="93"/>
      <c r="S113" s="93"/>
      <c r="T113" s="93"/>
      <c r="U113" s="93"/>
      <c r="V113" s="107"/>
      <c r="W113" s="107"/>
    </row>
    <row r="114" ht="18.75" customHeight="1">
      <c r="A114" s="93"/>
      <c r="B114" s="93"/>
      <c r="C114" s="166"/>
      <c r="D114" s="166"/>
      <c r="E114" s="166"/>
      <c r="F114" s="166"/>
      <c r="G114" s="177"/>
      <c r="H114" s="182"/>
      <c r="I114" s="170"/>
      <c r="J114" s="169"/>
      <c r="K114" s="169"/>
      <c r="L114" s="183"/>
      <c r="M114" s="180"/>
      <c r="N114" s="186"/>
      <c r="O114" s="93"/>
      <c r="P114" s="93"/>
      <c r="Q114" s="93"/>
      <c r="R114" s="93"/>
      <c r="S114" s="93"/>
      <c r="T114" s="93"/>
      <c r="U114" s="93"/>
      <c r="V114" s="107"/>
      <c r="W114" s="107"/>
    </row>
    <row r="115" ht="18.75" customHeight="1">
      <c r="A115" s="93"/>
      <c r="B115" s="93"/>
      <c r="C115" s="166"/>
      <c r="D115" s="166"/>
      <c r="E115" s="166"/>
      <c r="F115" s="166"/>
      <c r="G115" s="177"/>
      <c r="H115" s="182"/>
      <c r="I115" s="170"/>
      <c r="J115" s="169"/>
      <c r="K115" s="169"/>
      <c r="L115" s="183"/>
      <c r="M115" s="180"/>
      <c r="N115" s="186"/>
      <c r="O115" s="93"/>
      <c r="P115" s="93"/>
      <c r="Q115" s="93"/>
      <c r="R115" s="93"/>
      <c r="S115" s="93"/>
      <c r="T115" s="93"/>
      <c r="U115" s="93"/>
      <c r="V115" s="107"/>
      <c r="W115" s="107"/>
    </row>
    <row r="116" ht="18.75" customHeight="1">
      <c r="A116" s="93"/>
      <c r="B116" s="93"/>
      <c r="C116" s="166"/>
      <c r="D116" s="166"/>
      <c r="E116" s="166"/>
      <c r="F116" s="166"/>
      <c r="G116" s="177"/>
      <c r="H116" s="182"/>
      <c r="I116" s="170"/>
      <c r="J116" s="169"/>
      <c r="K116" s="169"/>
      <c r="L116" s="183"/>
      <c r="M116" s="180"/>
      <c r="N116" s="186"/>
      <c r="O116" s="93"/>
      <c r="P116" s="93"/>
      <c r="Q116" s="93"/>
      <c r="R116" s="93"/>
      <c r="S116" s="93"/>
      <c r="T116" s="93"/>
      <c r="U116" s="93"/>
      <c r="V116" s="107"/>
      <c r="W116" s="107"/>
    </row>
    <row r="117" ht="18.75" customHeight="1">
      <c r="A117" s="93"/>
      <c r="B117" s="93"/>
      <c r="C117" s="166"/>
      <c r="D117" s="166"/>
      <c r="E117" s="166"/>
      <c r="F117" s="166"/>
      <c r="G117" s="177"/>
      <c r="H117" s="182"/>
      <c r="I117" s="170"/>
      <c r="J117" s="169"/>
      <c r="K117" s="169"/>
      <c r="L117" s="183"/>
      <c r="M117" s="180"/>
      <c r="N117" s="186"/>
      <c r="O117" s="93"/>
      <c r="P117" s="93"/>
      <c r="Q117" s="93"/>
      <c r="R117" s="93"/>
      <c r="S117" s="93"/>
      <c r="T117" s="93"/>
      <c r="U117" s="93"/>
      <c r="V117" s="107"/>
      <c r="W117" s="107"/>
    </row>
    <row r="118" ht="18.75" customHeight="1">
      <c r="A118" s="93"/>
      <c r="B118" s="93"/>
      <c r="C118" s="166"/>
      <c r="D118" s="166"/>
      <c r="E118" s="166"/>
      <c r="F118" s="166"/>
      <c r="G118" s="177"/>
      <c r="H118" s="182"/>
      <c r="I118" s="170"/>
      <c r="J118" s="169"/>
      <c r="K118" s="169"/>
      <c r="L118" s="183"/>
      <c r="M118" s="180"/>
      <c r="N118" s="186"/>
      <c r="O118" s="93"/>
      <c r="P118" s="93"/>
      <c r="Q118" s="93"/>
      <c r="R118" s="93"/>
      <c r="S118" s="93"/>
      <c r="T118" s="93"/>
      <c r="U118" s="93"/>
      <c r="V118" s="107"/>
      <c r="W118" s="107"/>
    </row>
    <row r="119" ht="18.75" customHeight="1">
      <c r="A119" s="93"/>
      <c r="B119" s="93"/>
      <c r="C119" s="166"/>
      <c r="D119" s="166"/>
      <c r="E119" s="166"/>
      <c r="F119" s="166"/>
      <c r="G119" s="177"/>
      <c r="H119" s="182"/>
      <c r="I119" s="170"/>
      <c r="J119" s="169"/>
      <c r="K119" s="169"/>
      <c r="L119" s="183"/>
      <c r="M119" s="180"/>
      <c r="N119" s="186"/>
      <c r="O119" s="93"/>
      <c r="P119" s="93"/>
      <c r="Q119" s="93"/>
      <c r="R119" s="93"/>
      <c r="S119" s="93"/>
      <c r="T119" s="93"/>
      <c r="U119" s="93"/>
      <c r="V119" s="107"/>
      <c r="W119" s="107"/>
    </row>
    <row r="120" ht="18.75" customHeight="1">
      <c r="A120" s="93"/>
      <c r="B120" s="93"/>
      <c r="C120" s="166"/>
      <c r="D120" s="166"/>
      <c r="E120" s="166"/>
      <c r="F120" s="166"/>
      <c r="G120" s="177"/>
      <c r="H120" s="182"/>
      <c r="I120" s="170"/>
      <c r="J120" s="169"/>
      <c r="K120" s="169"/>
      <c r="L120" s="183"/>
      <c r="M120" s="180"/>
      <c r="N120" s="186"/>
      <c r="O120" s="93"/>
      <c r="P120" s="93"/>
      <c r="Q120" s="93"/>
      <c r="R120" s="93"/>
      <c r="S120" s="93"/>
      <c r="T120" s="93"/>
      <c r="U120" s="93"/>
      <c r="V120" s="107"/>
      <c r="W120" s="107"/>
    </row>
    <row r="121" ht="18.75" customHeight="1">
      <c r="A121" s="93"/>
      <c r="B121" s="93"/>
      <c r="C121" s="166"/>
      <c r="D121" s="166"/>
      <c r="E121" s="166"/>
      <c r="F121" s="166"/>
      <c r="G121" s="177"/>
      <c r="H121" s="182"/>
      <c r="I121" s="170"/>
      <c r="J121" s="169"/>
      <c r="K121" s="169"/>
      <c r="L121" s="183"/>
      <c r="M121" s="180"/>
      <c r="N121" s="186"/>
      <c r="O121" s="93"/>
      <c r="P121" s="93"/>
      <c r="Q121" s="93"/>
      <c r="R121" s="93"/>
      <c r="S121" s="93"/>
      <c r="T121" s="93"/>
      <c r="U121" s="93"/>
      <c r="V121" s="107"/>
      <c r="W121" s="107"/>
    </row>
    <row r="122" ht="18.75" customHeight="1">
      <c r="A122" s="93"/>
      <c r="B122" s="93"/>
      <c r="C122" s="166"/>
      <c r="D122" s="166"/>
      <c r="E122" s="166"/>
      <c r="F122" s="166"/>
      <c r="G122" s="177"/>
      <c r="H122" s="182"/>
      <c r="I122" s="170"/>
      <c r="J122" s="169"/>
      <c r="K122" s="169"/>
      <c r="L122" s="183"/>
      <c r="M122" s="180"/>
      <c r="N122" s="186"/>
      <c r="O122" s="93"/>
      <c r="P122" s="93"/>
      <c r="Q122" s="93"/>
      <c r="R122" s="93"/>
      <c r="S122" s="93"/>
      <c r="T122" s="93"/>
      <c r="U122" s="93"/>
      <c r="V122" s="107"/>
      <c r="W122" s="107"/>
    </row>
  </sheetData>
  <conditionalFormatting sqref="C3:C32">
    <cfRule type="expression" dxfId="8" priority="1">
      <formula>C3&gt;=$Q$10</formula>
    </cfRule>
  </conditionalFormatting>
  <conditionalFormatting sqref="C3:C32">
    <cfRule type="expression" dxfId="10" priority="2">
      <formula>OR($B3&lt;=$A$1,$A$1="")</formula>
    </cfRule>
  </conditionalFormatting>
  <conditionalFormatting sqref="E3:E32 J3:J32">
    <cfRule type="expression" dxfId="12" priority="3">
      <formula>OR($B3&lt;=$A$1,$A$1="")</formula>
    </cfRule>
  </conditionalFormatting>
  <conditionalFormatting sqref="G3:G32 L3:N32">
    <cfRule type="expression" dxfId="13" priority="4">
      <formula>OR($B3&lt;=$A$1,$A$1="")</formula>
    </cfRule>
  </conditionalFormatting>
  <conditionalFormatting sqref="J3:J32">
    <cfRule type="expression" dxfId="12" priority="5">
      <formula>OR($B3&lt;=$A$1,$A$1="")</formula>
    </cfRule>
  </conditionalFormatting>
  <conditionalFormatting sqref="C33">
    <cfRule type="expression" dxfId="9" priority="6">
      <formula>A1=""</formula>
    </cfRule>
  </conditionalFormatting>
  <conditionalFormatting sqref="C3:C33">
    <cfRule type="expression" dxfId="9" priority="7">
      <formula>B2=$A$1</formula>
    </cfRule>
  </conditionalFormatting>
  <conditionalFormatting sqref="C3:C33">
    <cfRule type="expression" dxfId="9" priority="8">
      <formula>B2=$A$1</formula>
    </cfRule>
  </conditionalFormatting>
  <conditionalFormatting sqref="B3:B33">
    <cfRule type="cellIs" dxfId="11" priority="9" operator="lessThan">
      <formula>"$a$1"</formula>
    </cfRule>
  </conditionalFormatting>
  <conditionalFormatting sqref="E3:E32 J3:J32">
    <cfRule type="expression" dxfId="12" priority="10">
      <formula>$B3&lt;=$A$1</formula>
    </cfRule>
  </conditionalFormatting>
  <conditionalFormatting sqref="G3:G32 L3:N32">
    <cfRule type="expression" dxfId="13" priority="11">
      <formula>$B3&lt;=$A$1</formula>
    </cfRule>
  </conditionalFormatting>
  <conditionalFormatting sqref="J3:J32">
    <cfRule type="expression" dxfId="12" priority="12">
      <formula>$B3&lt;=$A$1</formula>
    </cfRule>
  </conditionalFormatting>
  <conditionalFormatting sqref="H3:I33">
    <cfRule type="expression" dxfId="14" priority="13">
      <formula>$B3&lt;=$A$1</formula>
    </cfRule>
  </conditionalFormatting>
  <conditionalFormatting sqref="D4:D120">
    <cfRule type="expression" dxfId="6" priority="14">
      <formula>$K4="OK"</formula>
    </cfRule>
  </conditionalFormatting>
  <conditionalFormatting sqref="P24:T24">
    <cfRule type="notContainsBlanks" dxfId="7" priority="15">
      <formula>LEN(TRIM(P24))&gt;0</formula>
    </cfRule>
  </conditionalFormatting>
  <dataValidations>
    <dataValidation type="list" allowBlank="1" showErrorMessage="1" sqref="M3:M32">
      <formula1>Diretrizes!$B$17:$B$33</formula1>
    </dataValidation>
  </dataValidations>
  <printOptions/>
  <pageMargins bottom="0.7875" footer="0.0" header="0.0" left="0.511805555555555" right="0.511805555555555" top="0.78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1.71"/>
    <col customWidth="1" min="2" max="2" width="8.43"/>
    <col customWidth="1" min="3" max="3" width="5.43"/>
    <col customWidth="1" min="4" max="4" width="8.0"/>
    <col customWidth="1" min="5" max="5" width="8.43"/>
    <col customWidth="1" min="6" max="6" width="3.43"/>
    <col customWidth="1" min="7" max="7" width="13.86"/>
    <col customWidth="1" min="8" max="8" width="6.57"/>
    <col customWidth="1" min="9" max="9" width="5.57"/>
    <col customWidth="1" min="10" max="10" width="8.14"/>
    <col customWidth="1" min="11" max="11" width="6.71"/>
    <col customWidth="1" min="12" max="12" width="3.29"/>
    <col customWidth="1" min="15" max="15" width="4.14"/>
    <col customWidth="1" min="16" max="16" width="3.29"/>
    <col customWidth="1" min="17" max="17" width="4.29"/>
    <col customWidth="1" min="18" max="19" width="7.43"/>
    <col customWidth="1" min="20" max="20" width="6.29"/>
    <col customWidth="1" min="21" max="21" width="3.86"/>
    <col customWidth="1" min="22" max="22" width="8.71"/>
    <col customWidth="1" min="23" max="23" width="2.14"/>
    <col customWidth="1" min="24" max="24" width="4.86"/>
    <col customWidth="1" min="25" max="25" width="6.29"/>
    <col customWidth="1" min="26" max="26" width="7.43"/>
    <col customWidth="1" min="27" max="27" width="3.86"/>
    <col customWidth="1" min="28" max="28" width="14.57"/>
    <col customWidth="1" min="29" max="29" width="2.14"/>
    <col customWidth="1" min="30" max="30" width="4.86"/>
    <col customWidth="1" min="33" max="33" width="3.86"/>
    <col customWidth="1" min="34" max="34" width="39.14"/>
    <col customWidth="1" min="35" max="35" width="3.86"/>
  </cols>
  <sheetData>
    <row r="1">
      <c r="A1" s="187" t="s">
        <v>61</v>
      </c>
      <c r="B1" s="187" t="s">
        <v>25</v>
      </c>
      <c r="C1" s="187" t="s">
        <v>26</v>
      </c>
      <c r="D1" s="187" t="s">
        <v>27</v>
      </c>
      <c r="E1" s="187" t="s">
        <v>28</v>
      </c>
      <c r="F1" s="188"/>
      <c r="G1" s="187" t="s">
        <v>62</v>
      </c>
      <c r="H1" s="187" t="s">
        <v>25</v>
      </c>
      <c r="I1" s="187" t="s">
        <v>26</v>
      </c>
      <c r="J1" s="187" t="s">
        <v>27</v>
      </c>
      <c r="K1" s="187" t="s">
        <v>28</v>
      </c>
      <c r="M1" s="188" t="s">
        <v>63</v>
      </c>
      <c r="O1" s="189"/>
      <c r="Q1" s="190">
        <v>100.0</v>
      </c>
      <c r="R1" s="191">
        <f>T1</f>
        <v>0.04</v>
      </c>
      <c r="S1" s="191"/>
      <c r="T1" s="192">
        <f>Diretrizes!I6</f>
        <v>0.04</v>
      </c>
      <c r="U1" s="189"/>
      <c r="V1" t="str">
        <f t="array" ref="V1:Z39">sort(A2:E40,C2:C40,0)</f>
        <v/>
      </c>
      <c r="W1" t="s">
        <v>64</v>
      </c>
      <c r="Y1" s="193"/>
      <c r="Z1" s="193"/>
      <c r="AA1" s="189"/>
      <c r="AB1" s="194" t="str">
        <f t="array" ref="AB1:AF1">unique(sort(G3:K51,H3:H51,0))</f>
        <v/>
      </c>
      <c r="AE1" s="193" t="s">
        <v>64</v>
      </c>
      <c r="AF1" s="193" t="s">
        <v>64</v>
      </c>
      <c r="AG1" s="189"/>
    </row>
    <row r="2">
      <c r="A2" s="195" t="str">
        <f t="array" ref="A2">sort(UNIQUE({'Ciclo 1'!N3:N1000;'Ciclo 2'!N3:N1000;'Ciclo 3'!N3:N1000;'Ciclo 4'!N3:N1000;'Ciclo 5'!N3:N1000}))</f>
        <v/>
      </c>
      <c r="B2" s="195" t="str">
        <f>if(A2="","", countif('Ciclo 1'!N:N,$A2)+countif('Ciclo 2'!N:N,$A2)+countif('Ciclo 3'!N:N,$A2)+countif('Ciclo 4'!N:N,$A2)+countif('Ciclo 5'!N:N,$A2))</f>
        <v/>
      </c>
      <c r="C2" s="195" t="str">
        <f>if(A2="",,sumif('Ciclo 1'!$N:$N,$A2,'Ciclo 1'!G:G)+sumif('Ciclo 2'!$N:$N,$A2,'Ciclo 2'!G:G)+sumif('Ciclo 3'!$N:$N,$A2,'Ciclo 3'!G:G)+sumif('Ciclo 4'!$N:$N,$A2,'Ciclo 4'!G:G)+sumif('Ciclo 5'!$N:$N,$A2,'Ciclo 5'!G:G))</f>
        <v/>
      </c>
      <c r="D2" s="196" t="str">
        <f>if(A2="",,iferror((sumif('Ciclo 1'!N:N,A2,'Ciclo 1'!H:H)+sumif('Ciclo 2'!N:N,A2,'Ciclo 2'!H:H)+sumif('Ciclo 3'!N:N,A2,'Ciclo 3'!H:H)+sumif('Ciclo 4'!N:N,A2,'Ciclo 4'!H:H)+sumif('Ciclo 5'!N:N,A2,'Ciclo 5'!H:H))/B2,""))</f>
        <v/>
      </c>
      <c r="E2" s="196" t="str">
        <f t="shared" ref="E2:E51" si="1">if(A2="",,IFERROR(C2/sum($C$2:$C1000),""))</f>
        <v/>
      </c>
      <c r="G2" s="197" t="str">
        <f t="array" ref="G2:G3">sort(UNIQUE({'Ciclo 1'!V3:V1000;'Ciclo 1'!W3:W1000;'Ciclo 2'!V3:V1000;'Ciclo 2'!W3:W1000;'Ciclo 3'!V3:V1000;'Ciclo 3'!W3:W1000;'Ciclo 4'!V3:V1000;'Ciclo 4'!W3:W1000;'Ciclo 5'!V3:V1000;'Ciclo 5'!W3:W1000}))</f>
        <v/>
      </c>
      <c r="H2" s="195" t="str">
        <f>if(G2="",, sumif('Ciclo 1'!P:P,G2,'Ciclo 1'!R:R)+sumif('Ciclo 2'!P:P,G2,'Ciclo 2'!R:R)+sumif('Ciclo 3'!P:P,G2,'Ciclo 3'!R:R)+sumif('Ciclo 4'!P:P,G2,'Ciclo 4'!R:R)+sumif('Ciclo 5'!P:P,G2,'Ciclo 5'!R:R))</f>
        <v/>
      </c>
      <c r="I2" s="198" t="str">
        <f>if(G2="",, sumif('Ciclo 1'!P:P,G2,'Ciclo 1'!Q:Q)+sumif('Ciclo 2'!P:P,G2,'Ciclo 2'!Q:Q)+sumif('Ciclo 3'!P:P,G2,'Ciclo 3'!Q:Q)+sumif('Ciclo 4'!P:P,G2,'Ciclo 4'!Q:Q)+sumif('Ciclo 5'!P:P,G2,'Ciclo 5'!Q:Q))</f>
        <v/>
      </c>
      <c r="J2" s="196" t="str">
        <f>if(G2="","", iferror(averageif('Ciclo 1'!V$3:V1000,G2,'Ciclo 1'!H$3:H1000),0)+iferror(averageif('Ciclo 1'!W$3:W1000,G2,'Ciclo 1'!H$3:H1000)+iferror(averageif('Ciclo 2'!V$3:V1000,G2,'Ciclo 2'!H$3:H1000),0)+iferror(averageif('Ciclo 2'!W$3:W1000,G2,'Ciclo 2'!H$3:H1000)+iferror(averageif('Ciclo 3'!V$3:V1000,G2,'Ciclo 3'!H$3:H1000),0)+iferror(averageif('Ciclo 3'!W$3:W1000,G2,'Ciclo 3'!H$3:H1000)+iferror(averageif('Ciclo 4'!V$3:V1000,G2,'Ciclo 4'!H$3:H1000),0)+iferror(averageif('Ciclo 4'!W$3:W1000,G2,'Ciclo 4'!H$3:H1000)+iferror(averageif('Ciclo 5'!V$3:V1000,G2,'Ciclo 5'!H$3:H1000),0)+iferror(averageif('Ciclo 5'!W$3:W1000,G2,'Ciclo 5'!H$3:H1000),0),""),""),""),""))</f>
        <v/>
      </c>
      <c r="K2" s="196" t="str">
        <f t="shared" ref="K2:K73" si="2">if(G2="","",I2/(sum($I:$I)/2))</f>
        <v/>
      </c>
      <c r="M2" s="188" t="s">
        <v>65</v>
      </c>
      <c r="N2" s="188" t="s">
        <v>66</v>
      </c>
      <c r="O2" s="189"/>
      <c r="P2" s="188">
        <v>1.0</v>
      </c>
      <c r="Q2" s="199">
        <f t="shared" ref="Q2:Q31" si="3">IF(P2&lt;=$T$2,Q1*(1+R1),"")</f>
        <v>104</v>
      </c>
      <c r="R2" s="193">
        <f>IF(P2&lt;=$T$2,R1*(1-Diretrizes!$C$5),)</f>
        <v>0.04</v>
      </c>
      <c r="S2" s="191">
        <f t="shared" ref="S2:S31" si="4">IF(P2&lt;=$T$2,(Q2-$Q$1)/100,)</f>
        <v>0.04</v>
      </c>
      <c r="T2" s="200">
        <f>Diretrizes!J3</f>
        <v>12</v>
      </c>
      <c r="U2" s="189"/>
      <c r="W2" t="s">
        <v>64</v>
      </c>
      <c r="Y2" s="193"/>
      <c r="Z2" s="193"/>
      <c r="AA2" s="189"/>
      <c r="AG2" s="189"/>
    </row>
    <row r="3">
      <c r="A3" s="195"/>
      <c r="B3" s="195" t="str">
        <f>if(A3="","", countif('Ciclo 1'!N:N,$A3)+countif('Ciclo 2'!N:N,$A3)+countif('Ciclo 3'!N:N,$A3)+countif('Ciclo 4'!N:N,$A3)+countif('Ciclo 5'!N:N,$A3))</f>
        <v/>
      </c>
      <c r="C3" s="195" t="str">
        <f>if(A3="",,sumif('Ciclo 1'!$N:$N,$A3,'Ciclo 1'!G:G)+sumif('Ciclo 2'!$N:$N,$A3,'Ciclo 2'!G:G)+sumif('Ciclo 3'!$N:$N,$A3,'Ciclo 3'!G:G)+sumif('Ciclo 4'!$N:$N,$A3,'Ciclo 4'!G:G)+sumif('Ciclo 5'!$N:$N,$A3,'Ciclo 5'!G:G))</f>
        <v/>
      </c>
      <c r="D3" s="196" t="str">
        <f>if(A3="",,iferror((sumif('Ciclo 1'!N:N,A3,'Ciclo 1'!H:H)+sumif('Ciclo 2'!N:N,A3,'Ciclo 2'!H:H)+sumif('Ciclo 3'!N:N,A3,'Ciclo 3'!H:H)+sumif('Ciclo 4'!N:N,A3,'Ciclo 4'!H:H)+sumif('Ciclo 5'!N:N,A3,'Ciclo 5'!H:H))/B3,""))</f>
        <v/>
      </c>
      <c r="E3" s="196" t="str">
        <f t="shared" si="1"/>
        <v/>
      </c>
      <c r="G3" s="197"/>
      <c r="H3" s="195" t="str">
        <f>if(G3="",, sumif('Ciclo 1'!P:P,G3,'Ciclo 1'!R:R)+sumif('Ciclo 2'!P:P,G3,'Ciclo 2'!R:R)+sumif('Ciclo 3'!P:P,G3,'Ciclo 3'!R:R)+sumif('Ciclo 4'!P:P,G3,'Ciclo 4'!R:R)+sumif('Ciclo 5'!P:P,G3,'Ciclo 5'!R:R))</f>
        <v/>
      </c>
      <c r="I3" s="201" t="str">
        <f>if(G3="",, sumif('Ciclo 1'!P:P,G3,'Ciclo 1'!Q:Q)+sumif('Ciclo 2'!P:P,G3,'Ciclo 2'!Q:Q)+sumif('Ciclo 3'!P:P,G3,'Ciclo 3'!Q:Q)+sumif('Ciclo 4'!P:P,G3,'Ciclo 4'!Q:Q)+sumif('Ciclo 5'!P:P,G3,'Ciclo 5'!Q:Q))</f>
        <v/>
      </c>
      <c r="J3" s="196" t="str">
        <f>if(G3="","", iferror(averageif('Ciclo 1'!V$3:V1000,G3,'Ciclo 1'!H$3:H1000),0)+iferror(averageif('Ciclo 1'!W$3:W1000,G3,'Ciclo 1'!H$3:H1000)+iferror(averageif('Ciclo 2'!V$3:V1000,G3,'Ciclo 2'!H$3:H1000),0)+iferror(averageif('Ciclo 2'!W$3:W1000,G3,'Ciclo 2'!H$3:H1000)+iferror(averageif('Ciclo 3'!V$3:V1000,G3,'Ciclo 3'!H$3:H1000),0)+iferror(averageif('Ciclo 3'!W$3:W1000,G3,'Ciclo 3'!H$3:H1000)+iferror(averageif('Ciclo 4'!V$3:V1000,G3,'Ciclo 4'!H$3:H1000),0)+iferror(averageif('Ciclo 4'!W$3:W1000,G3,'Ciclo 4'!H$3:H1000)+iferror(averageif('Ciclo 5'!V$3:V1000,G3,'Ciclo 5'!H$3:H1000),0)+iferror(averageif('Ciclo 5'!W$3:W1000,G3,'Ciclo 5'!H$3:H1000),0),""),""),""),""))</f>
        <v/>
      </c>
      <c r="K3" s="196" t="str">
        <f t="shared" si="2"/>
        <v/>
      </c>
      <c r="M3" s="188" t="s">
        <v>67</v>
      </c>
      <c r="N3" s="188" t="s">
        <v>68</v>
      </c>
      <c r="O3" s="189"/>
      <c r="P3" s="188">
        <v>2.0</v>
      </c>
      <c r="Q3" s="199">
        <f t="shared" si="3"/>
        <v>108.16</v>
      </c>
      <c r="R3" s="193">
        <f>IF(P3&lt;=$T$2,R2*(1-Diretrizes!$C$5),)</f>
        <v>0.04</v>
      </c>
      <c r="S3" s="191">
        <f t="shared" si="4"/>
        <v>0.0816</v>
      </c>
      <c r="U3" s="189"/>
      <c r="W3" t="s">
        <v>64</v>
      </c>
      <c r="Y3" s="193"/>
      <c r="Z3" s="193"/>
      <c r="AA3" s="189"/>
      <c r="AG3" s="189"/>
    </row>
    <row r="4">
      <c r="A4" s="195"/>
      <c r="B4" s="195" t="str">
        <f>if(A4="","", countif('Ciclo 1'!N:N,$A4)+countif('Ciclo 2'!N:N,$A4)+countif('Ciclo 3'!N:N,$A4)+countif('Ciclo 4'!N:N,$A4)+countif('Ciclo 5'!N:N,$A4))</f>
        <v/>
      </c>
      <c r="C4" s="195" t="str">
        <f>if(A4="",,sumif('Ciclo 1'!$N:$N,$A4,'Ciclo 1'!G:G)+sumif('Ciclo 2'!$N:$N,$A4,'Ciclo 2'!G:G)+sumif('Ciclo 3'!$N:$N,$A4,'Ciclo 3'!G:G)+sumif('Ciclo 4'!$N:$N,$A4,'Ciclo 4'!G:G)+sumif('Ciclo 5'!$N:$N,$A4,'Ciclo 5'!G:G))</f>
        <v/>
      </c>
      <c r="D4" s="196" t="str">
        <f>if(A4="",,iferror((sumif('Ciclo 1'!N:N,A4,'Ciclo 1'!H:H)+sumif('Ciclo 2'!N:N,A4,'Ciclo 2'!H:H)+sumif('Ciclo 3'!N:N,A4,'Ciclo 3'!H:H)+sumif('Ciclo 4'!N:N,A4,'Ciclo 4'!H:H)+sumif('Ciclo 5'!N:N,A4,'Ciclo 5'!H:H))/B4,""))</f>
        <v/>
      </c>
      <c r="E4" s="196" t="str">
        <f t="shared" si="1"/>
        <v/>
      </c>
      <c r="G4" s="195"/>
      <c r="H4" s="195" t="str">
        <f>if(G4="",, sumif('Ciclo 1'!P:P,G4,'Ciclo 1'!R:R)+sumif('Ciclo 2'!P:P,G4,'Ciclo 2'!R:R)+sumif('Ciclo 3'!P:P,G4,'Ciclo 3'!R:R)+sumif('Ciclo 4'!P:P,G4,'Ciclo 4'!R:R)+sumif('Ciclo 5'!P:P,G4,'Ciclo 5'!R:R))</f>
        <v/>
      </c>
      <c r="I4" s="201" t="str">
        <f>if(G4="",, sumif('Ciclo 1'!P:P,G4,'Ciclo 1'!Q:Q)+sumif('Ciclo 2'!P:P,G4,'Ciclo 2'!Q:Q)+sumif('Ciclo 3'!P:P,G4,'Ciclo 3'!Q:Q)+sumif('Ciclo 4'!P:P,G4,'Ciclo 4'!Q:Q)+sumif('Ciclo 5'!P:P,G4,'Ciclo 5'!Q:Q))</f>
        <v/>
      </c>
      <c r="J4" s="196" t="str">
        <f>if(G4="","", iferror(averageif('Ciclo 1'!V$3:V1000,G4,'Ciclo 1'!H$3:H1000),0)+iferror(averageif('Ciclo 1'!W$3:W1000,G4,'Ciclo 1'!H$3:H1000)+iferror(averageif('Ciclo 2'!V$3:V1000,G4,'Ciclo 2'!H$3:H1000),0)+iferror(averageif('Ciclo 2'!W$3:W1000,G4,'Ciclo 2'!H$3:H1000)+iferror(averageif('Ciclo 3'!V$3:V1000,G4,'Ciclo 3'!H$3:H1000),0)+iferror(averageif('Ciclo 3'!W$3:W1000,G4,'Ciclo 3'!H$3:H1000)+iferror(averageif('Ciclo 4'!V$3:V1000,G4,'Ciclo 4'!H$3:H1000),0)+iferror(averageif('Ciclo 4'!W$3:W1000,G4,'Ciclo 4'!H$3:H1000)+iferror(averageif('Ciclo 5'!V$3:V1000,G4,'Ciclo 5'!H$3:H1000),0)+iferror(averageif('Ciclo 5'!W$3:W1000,G4,'Ciclo 5'!H$3:H1000),0),""),""),""),""))</f>
        <v/>
      </c>
      <c r="K4" s="196" t="str">
        <f t="shared" si="2"/>
        <v/>
      </c>
      <c r="M4" s="188" t="s">
        <v>69</v>
      </c>
      <c r="N4" s="188" t="s">
        <v>69</v>
      </c>
      <c r="O4" s="189"/>
      <c r="P4" s="188">
        <v>3.0</v>
      </c>
      <c r="Q4" s="199">
        <f t="shared" si="3"/>
        <v>112.4864</v>
      </c>
      <c r="R4" s="193">
        <f>IF(P4&lt;=$T$2,R3*(1-Diretrizes!$C$5),)</f>
        <v>0.04</v>
      </c>
      <c r="S4" s="191">
        <f t="shared" si="4"/>
        <v>0.124864</v>
      </c>
      <c r="U4" s="189"/>
      <c r="W4" t="s">
        <v>64</v>
      </c>
      <c r="Y4" s="193"/>
      <c r="Z4" s="193"/>
      <c r="AA4" s="189"/>
      <c r="AG4" s="189"/>
    </row>
    <row r="5">
      <c r="A5" s="195"/>
      <c r="B5" s="195" t="str">
        <f>if(A5="","", countif('Ciclo 1'!N:N,$A5)+countif('Ciclo 2'!N:N,$A5)+countif('Ciclo 3'!N:N,$A5)+countif('Ciclo 4'!N:N,$A5)+countif('Ciclo 5'!N:N,$A5))</f>
        <v/>
      </c>
      <c r="C5" s="195" t="str">
        <f>if(A5="",,sumif('Ciclo 1'!$N:$N,$A5,'Ciclo 1'!G:G)+sumif('Ciclo 2'!$N:$N,$A5,'Ciclo 2'!G:G)+sumif('Ciclo 3'!$N:$N,$A5,'Ciclo 3'!G:G)+sumif('Ciclo 4'!$N:$N,$A5,'Ciclo 4'!G:G)+sumif('Ciclo 5'!$N:$N,$A5,'Ciclo 5'!G:G))</f>
        <v/>
      </c>
      <c r="D5" s="196" t="str">
        <f>if(A5="",,iferror((sumif('Ciclo 1'!N:N,A5,'Ciclo 1'!H:H)+sumif('Ciclo 2'!N:N,A5,'Ciclo 2'!H:H)+sumif('Ciclo 3'!N:N,A5,'Ciclo 3'!H:H)+sumif('Ciclo 4'!N:N,A5,'Ciclo 4'!H:H)+sumif('Ciclo 5'!N:N,A5,'Ciclo 5'!H:H))/B5,""))</f>
        <v/>
      </c>
      <c r="E5" s="196" t="str">
        <f t="shared" si="1"/>
        <v/>
      </c>
      <c r="G5" s="195"/>
      <c r="H5" s="195" t="str">
        <f>if(G5="",, sumif('Ciclo 1'!P:P,G5,'Ciclo 1'!R:R)+sumif('Ciclo 2'!P:P,G5,'Ciclo 2'!R:R)+sumif('Ciclo 3'!P:P,G5,'Ciclo 3'!R:R)+sumif('Ciclo 4'!P:P,G5,'Ciclo 4'!R:R)+sumif('Ciclo 5'!P:P,G5,'Ciclo 5'!R:R))</f>
        <v/>
      </c>
      <c r="I5" s="201" t="str">
        <f>if(G5="",, sumif('Ciclo 1'!P:P,G5,'Ciclo 1'!Q:Q)+sumif('Ciclo 2'!P:P,G5,'Ciclo 2'!Q:Q)+sumif('Ciclo 3'!P:P,G5,'Ciclo 3'!Q:Q)+sumif('Ciclo 4'!P:P,G5,'Ciclo 4'!Q:Q)+sumif('Ciclo 5'!P:P,G5,'Ciclo 5'!Q:Q))</f>
        <v/>
      </c>
      <c r="J5" s="196" t="str">
        <f>if(G5="","", iferror(averageif('Ciclo 1'!V$3:V1000,G5,'Ciclo 1'!H$3:H1000),0)+iferror(averageif('Ciclo 1'!W$3:W1000,G5,'Ciclo 1'!H$3:H1000)+iferror(averageif('Ciclo 2'!V$3:V1000,G5,'Ciclo 2'!H$3:H1000),0)+iferror(averageif('Ciclo 2'!W$3:W1000,G5,'Ciclo 2'!H$3:H1000)+iferror(averageif('Ciclo 3'!V$3:V1000,G5,'Ciclo 3'!H$3:H1000),0)+iferror(averageif('Ciclo 3'!W$3:W1000,G5,'Ciclo 3'!H$3:H1000)+iferror(averageif('Ciclo 4'!V$3:V1000,G5,'Ciclo 4'!H$3:H1000),0)+iferror(averageif('Ciclo 4'!W$3:W1000,G5,'Ciclo 4'!H$3:H1000)+iferror(averageif('Ciclo 5'!V$3:V1000,G5,'Ciclo 5'!H$3:H1000),0)+iferror(averageif('Ciclo 5'!W$3:W1000,G5,'Ciclo 5'!H$3:H1000),0),""),""),""),""))</f>
        <v/>
      </c>
      <c r="K5" s="196" t="str">
        <f t="shared" si="2"/>
        <v/>
      </c>
      <c r="M5" s="188" t="s">
        <v>70</v>
      </c>
      <c r="N5" s="188" t="s">
        <v>70</v>
      </c>
      <c r="O5" s="189"/>
      <c r="P5" s="188">
        <v>4.0</v>
      </c>
      <c r="Q5" s="199">
        <f t="shared" si="3"/>
        <v>116.985856</v>
      </c>
      <c r="R5" s="193">
        <f>IF(P5&lt;=$T$2,R4*(1-Diretrizes!$C$5),)</f>
        <v>0.04</v>
      </c>
      <c r="S5" s="191">
        <f t="shared" si="4"/>
        <v>0.16985856</v>
      </c>
      <c r="U5" s="189"/>
      <c r="W5" t="s">
        <v>64</v>
      </c>
      <c r="Y5" s="193"/>
      <c r="Z5" s="193"/>
      <c r="AA5" s="189"/>
      <c r="AG5" s="189"/>
    </row>
    <row r="6">
      <c r="A6" s="195"/>
      <c r="B6" s="195" t="str">
        <f>if(A6="","", countif('Ciclo 1'!N:N,$A6)+countif('Ciclo 2'!N:N,$A6)+countif('Ciclo 3'!N:N,$A6)+countif('Ciclo 4'!N:N,$A6)+countif('Ciclo 5'!N:N,$A6))</f>
        <v/>
      </c>
      <c r="C6" s="195" t="str">
        <f>if(A6="",,sumif('Ciclo 1'!$N:$N,$A6,'Ciclo 1'!G:G)+sumif('Ciclo 2'!$N:$N,$A6,'Ciclo 2'!G:G)+sumif('Ciclo 3'!$N:$N,$A6,'Ciclo 3'!G:G)+sumif('Ciclo 4'!$N:$N,$A6,'Ciclo 4'!G:G)+sumif('Ciclo 5'!$N:$N,$A6,'Ciclo 5'!G:G))</f>
        <v/>
      </c>
      <c r="D6" s="196" t="str">
        <f>if(A6="",,iferror((sumif('Ciclo 1'!N:N,A6,'Ciclo 1'!H:H)+sumif('Ciclo 2'!N:N,A6,'Ciclo 2'!H:H)+sumif('Ciclo 3'!N:N,A6,'Ciclo 3'!H:H)+sumif('Ciclo 4'!N:N,A6,'Ciclo 4'!H:H)+sumif('Ciclo 5'!N:N,A6,'Ciclo 5'!H:H))/B6,""))</f>
        <v/>
      </c>
      <c r="E6" s="196" t="str">
        <f t="shared" si="1"/>
        <v/>
      </c>
      <c r="G6" s="195"/>
      <c r="H6" s="195" t="str">
        <f>if(G6="",, sumif('Ciclo 1'!P:P,G6,'Ciclo 1'!R:R)+sumif('Ciclo 2'!P:P,G6,'Ciclo 2'!R:R)+sumif('Ciclo 3'!P:P,G6,'Ciclo 3'!R:R)+sumif('Ciclo 4'!P:P,G6,'Ciclo 4'!R:R)+sumif('Ciclo 5'!P:P,G6,'Ciclo 5'!R:R))</f>
        <v/>
      </c>
      <c r="I6" s="201" t="str">
        <f>if(G6="",, sumif('Ciclo 1'!P:P,G6,'Ciclo 1'!Q:Q)+sumif('Ciclo 2'!P:P,G6,'Ciclo 2'!Q:Q)+sumif('Ciclo 3'!P:P,G6,'Ciclo 3'!Q:Q)+sumif('Ciclo 4'!P:P,G6,'Ciclo 4'!Q:Q)+sumif('Ciclo 5'!P:P,G6,'Ciclo 5'!Q:Q))</f>
        <v/>
      </c>
      <c r="J6" s="196" t="str">
        <f>if(G6="","", iferror(averageif('Ciclo 1'!V$3:V1000,G6,'Ciclo 1'!H$3:H1000),0)+iferror(averageif('Ciclo 1'!W$3:W1000,G6,'Ciclo 1'!H$3:H1000)+iferror(averageif('Ciclo 2'!V$3:V1000,G6,'Ciclo 2'!H$3:H1000),0)+iferror(averageif('Ciclo 2'!W$3:W1000,G6,'Ciclo 2'!H$3:H1000)+iferror(averageif('Ciclo 3'!V$3:V1000,G6,'Ciclo 3'!H$3:H1000),0)+iferror(averageif('Ciclo 3'!W$3:W1000,G6,'Ciclo 3'!H$3:H1000)+iferror(averageif('Ciclo 4'!V$3:V1000,G6,'Ciclo 4'!H$3:H1000),0)+iferror(averageif('Ciclo 4'!W$3:W1000,G6,'Ciclo 4'!H$3:H1000)+iferror(averageif('Ciclo 5'!V$3:V1000,G6,'Ciclo 5'!H$3:H1000),0)+iferror(averageif('Ciclo 5'!W$3:W1000,G6,'Ciclo 5'!H$3:H1000),0),""),""),""),""))</f>
        <v/>
      </c>
      <c r="K6" s="196" t="str">
        <f t="shared" si="2"/>
        <v/>
      </c>
      <c r="M6" s="188" t="s">
        <v>71</v>
      </c>
      <c r="N6" s="188" t="s">
        <v>71</v>
      </c>
      <c r="O6" s="189"/>
      <c r="P6" s="188">
        <v>5.0</v>
      </c>
      <c r="Q6" s="199">
        <f t="shared" si="3"/>
        <v>121.6652902</v>
      </c>
      <c r="R6" s="193">
        <f>IF(P6&lt;=$T$2,R5*(1-Diretrizes!$C$5),)</f>
        <v>0.04</v>
      </c>
      <c r="S6" s="191">
        <f t="shared" si="4"/>
        <v>0.2166529024</v>
      </c>
      <c r="U6" s="189"/>
      <c r="W6" t="s">
        <v>64</v>
      </c>
      <c r="Y6" s="193"/>
      <c r="Z6" s="193"/>
      <c r="AA6" s="189"/>
      <c r="AG6" s="189"/>
    </row>
    <row r="7">
      <c r="A7" s="195"/>
      <c r="B7" s="195" t="str">
        <f>if(A7="","", countif('Ciclo 1'!N:N,$A7)+countif('Ciclo 2'!N:N,$A7)+countif('Ciclo 3'!N:N,$A7)+countif('Ciclo 4'!N:N,$A7)+countif('Ciclo 5'!N:N,$A7))</f>
        <v/>
      </c>
      <c r="C7" s="195" t="str">
        <f>if(A7="",,sumif('Ciclo 1'!$N:$N,$A7,'Ciclo 1'!G:G)+sumif('Ciclo 2'!$N:$N,$A7,'Ciclo 2'!G:G)+sumif('Ciclo 3'!$N:$N,$A7,'Ciclo 3'!G:G)+sumif('Ciclo 4'!$N:$N,$A7,'Ciclo 4'!G:G)+sumif('Ciclo 5'!$N:$N,$A7,'Ciclo 5'!G:G))</f>
        <v/>
      </c>
      <c r="D7" s="196" t="str">
        <f>if(A7="",,iferror((sumif('Ciclo 1'!N:N,A7,'Ciclo 1'!H:H)+sumif('Ciclo 2'!N:N,A7,'Ciclo 2'!H:H)+sumif('Ciclo 3'!N:N,A7,'Ciclo 3'!H:H)+sumif('Ciclo 4'!N:N,A7,'Ciclo 4'!H:H)+sumif('Ciclo 5'!N:N,A7,'Ciclo 5'!H:H))/B7,""))</f>
        <v/>
      </c>
      <c r="E7" s="196" t="str">
        <f t="shared" si="1"/>
        <v/>
      </c>
      <c r="G7" s="195"/>
      <c r="H7" s="195" t="str">
        <f>if(G7="",, sumif('Ciclo 1'!P:P,G7,'Ciclo 1'!R:R)+sumif('Ciclo 2'!P:P,G7,'Ciclo 2'!R:R)+sumif('Ciclo 3'!P:P,G7,'Ciclo 3'!R:R)+sumif('Ciclo 4'!P:P,G7,'Ciclo 4'!R:R)+sumif('Ciclo 5'!P:P,G7,'Ciclo 5'!R:R))</f>
        <v/>
      </c>
      <c r="I7" s="201" t="str">
        <f>if(G7="",, sumif('Ciclo 1'!P:P,G7,'Ciclo 1'!Q:Q)+sumif('Ciclo 2'!P:P,G7,'Ciclo 2'!Q:Q)+sumif('Ciclo 3'!P:P,G7,'Ciclo 3'!Q:Q)+sumif('Ciclo 4'!P:P,G7,'Ciclo 4'!Q:Q)+sumif('Ciclo 5'!P:P,G7,'Ciclo 5'!Q:Q))</f>
        <v/>
      </c>
      <c r="J7" s="196" t="str">
        <f>if(G7="","", iferror(averageif('Ciclo 1'!V$3:V1000,G7,'Ciclo 1'!H$3:H1000),0)+iferror(averageif('Ciclo 1'!W$3:W1000,G7,'Ciclo 1'!H$3:H1000)+iferror(averageif('Ciclo 2'!V$3:V1000,G7,'Ciclo 2'!H$3:H1000),0)+iferror(averageif('Ciclo 2'!W$3:W1000,G7,'Ciclo 2'!H$3:H1000)+iferror(averageif('Ciclo 3'!V$3:V1000,G7,'Ciclo 3'!H$3:H1000),0)+iferror(averageif('Ciclo 3'!W$3:W1000,G7,'Ciclo 3'!H$3:H1000)+iferror(averageif('Ciclo 4'!V$3:V1000,G7,'Ciclo 4'!H$3:H1000),0)+iferror(averageif('Ciclo 4'!W$3:W1000,G7,'Ciclo 4'!H$3:H1000)+iferror(averageif('Ciclo 5'!V$3:V1000,G7,'Ciclo 5'!H$3:H1000),0)+iferror(averageif('Ciclo 5'!W$3:W1000,G7,'Ciclo 5'!H$3:H1000),0),""),""),""),""))</f>
        <v/>
      </c>
      <c r="K7" s="196" t="str">
        <f t="shared" si="2"/>
        <v/>
      </c>
      <c r="M7" s="188" t="s">
        <v>72</v>
      </c>
      <c r="N7" s="188" t="s">
        <v>72</v>
      </c>
      <c r="O7" s="189"/>
      <c r="P7" s="188">
        <v>6.0</v>
      </c>
      <c r="Q7" s="199">
        <f t="shared" si="3"/>
        <v>126.5319018</v>
      </c>
      <c r="R7" s="193">
        <f>IF(P7&lt;=$T$2,R6*(1-Diretrizes!$C$5),)</f>
        <v>0.04</v>
      </c>
      <c r="S7" s="191">
        <f t="shared" si="4"/>
        <v>0.2653190185</v>
      </c>
      <c r="U7" s="189"/>
      <c r="W7" t="s">
        <v>64</v>
      </c>
      <c r="Y7" s="193"/>
      <c r="Z7" s="193"/>
      <c r="AA7" s="189"/>
      <c r="AG7" s="189"/>
    </row>
    <row r="8">
      <c r="A8" s="195"/>
      <c r="B8" s="195" t="str">
        <f>if(A8="","", countif('Ciclo 1'!N:N,$A8)+countif('Ciclo 2'!N:N,$A8)+countif('Ciclo 3'!N:N,$A8)+countif('Ciclo 4'!N:N,$A8)+countif('Ciclo 5'!N:N,$A8))</f>
        <v/>
      </c>
      <c r="C8" s="195" t="str">
        <f>if(A8="",,sumif('Ciclo 1'!$N:$N,$A8,'Ciclo 1'!G:G)+sumif('Ciclo 2'!$N:$N,$A8,'Ciclo 2'!G:G)+sumif('Ciclo 3'!$N:$N,$A8,'Ciclo 3'!G:G)+sumif('Ciclo 4'!$N:$N,$A8,'Ciclo 4'!G:G)+sumif('Ciclo 5'!$N:$N,$A8,'Ciclo 5'!G:G))</f>
        <v/>
      </c>
      <c r="D8" s="196" t="str">
        <f>if(A8="",,iferror((sumif('Ciclo 1'!N:N,A8,'Ciclo 1'!H:H)+sumif('Ciclo 2'!N:N,A8,'Ciclo 2'!H:H)+sumif('Ciclo 3'!N:N,A8,'Ciclo 3'!H:H)+sumif('Ciclo 4'!N:N,A8,'Ciclo 4'!H:H)+sumif('Ciclo 5'!N:N,A8,'Ciclo 5'!H:H))/B8,""))</f>
        <v/>
      </c>
      <c r="E8" s="196" t="str">
        <f t="shared" si="1"/>
        <v/>
      </c>
      <c r="G8" s="195"/>
      <c r="H8" s="195" t="str">
        <f>if(G8="",, sumif('Ciclo 1'!P:P,G8,'Ciclo 1'!R:R)+sumif('Ciclo 2'!P:P,G8,'Ciclo 2'!R:R)+sumif('Ciclo 3'!P:P,G8,'Ciclo 3'!R:R)+sumif('Ciclo 4'!P:P,G8,'Ciclo 4'!R:R)+sumif('Ciclo 5'!P:P,G8,'Ciclo 5'!R:R))</f>
        <v/>
      </c>
      <c r="I8" s="198" t="str">
        <f>if(G8="",, sumif('Ciclo 1'!P:P,G8,'Ciclo 1'!Q:Q)+sumif('Ciclo 2'!P:P,G8,'Ciclo 2'!Q:Q)+sumif('Ciclo 3'!P:P,G8,'Ciclo 3'!Q:Q)+sumif('Ciclo 4'!P:P,G8,'Ciclo 4'!Q:Q)+sumif('Ciclo 5'!P:P,G8,'Ciclo 5'!Q:Q))</f>
        <v/>
      </c>
      <c r="J8" s="196" t="str">
        <f>if(G8="","", iferror(averageif('Ciclo 1'!V$3:V1000,G8,'Ciclo 1'!H$3:H1000),0)+iferror(averageif('Ciclo 1'!W$3:W1000,G8,'Ciclo 1'!H$3:H1000)+iferror(averageif('Ciclo 2'!V$3:V1000,G8,'Ciclo 2'!H$3:H1000),0)+iferror(averageif('Ciclo 2'!W$3:W1000,G8,'Ciclo 2'!H$3:H1000)+iferror(averageif('Ciclo 3'!V$3:V1000,G8,'Ciclo 3'!H$3:H1000),0)+iferror(averageif('Ciclo 3'!W$3:W1000,G8,'Ciclo 3'!H$3:H1000)+iferror(averageif('Ciclo 4'!V$3:V1000,G8,'Ciclo 4'!H$3:H1000),0)+iferror(averageif('Ciclo 4'!W$3:W1000,G8,'Ciclo 4'!H$3:H1000)+iferror(averageif('Ciclo 5'!V$3:V1000,G8,'Ciclo 5'!H$3:H1000),0)+iferror(averageif('Ciclo 5'!W$3:W1000,G8,'Ciclo 5'!H$3:H1000),0),""),""),""),""))</f>
        <v/>
      </c>
      <c r="K8" s="196" t="str">
        <f t="shared" si="2"/>
        <v/>
      </c>
      <c r="M8" s="188" t="s">
        <v>73</v>
      </c>
      <c r="N8" s="188" t="s">
        <v>73</v>
      </c>
      <c r="O8" s="189"/>
      <c r="P8" s="188">
        <v>7.0</v>
      </c>
      <c r="Q8" s="199">
        <f t="shared" si="3"/>
        <v>131.5931779</v>
      </c>
      <c r="R8" s="193">
        <f>IF(P8&lt;=$T$2,R7*(1-Diretrizes!$C$5),)</f>
        <v>0.04</v>
      </c>
      <c r="S8" s="191">
        <f t="shared" si="4"/>
        <v>0.3159317792</v>
      </c>
      <c r="U8" s="189"/>
      <c r="W8" t="s">
        <v>64</v>
      </c>
      <c r="Y8" s="193"/>
      <c r="Z8" s="193"/>
      <c r="AA8" s="189"/>
      <c r="AG8" s="189"/>
    </row>
    <row r="9">
      <c r="A9" s="195"/>
      <c r="B9" s="195" t="str">
        <f>if(A9="","", countif('Ciclo 1'!N:N,$A9)+countif('Ciclo 2'!N:N,$A9)+countif('Ciclo 3'!N:N,$A9)+countif('Ciclo 4'!N:N,$A9)+countif('Ciclo 5'!N:N,$A9))</f>
        <v/>
      </c>
      <c r="C9" s="195" t="str">
        <f>if(A9="",,sumif('Ciclo 1'!$N:$N,$A9,'Ciclo 1'!G:G)+sumif('Ciclo 2'!$N:$N,$A9,'Ciclo 2'!G:G)+sumif('Ciclo 3'!$N:$N,$A9,'Ciclo 3'!G:G)+sumif('Ciclo 4'!$N:$N,$A9,'Ciclo 4'!G:G)+sumif('Ciclo 5'!$N:$N,$A9,'Ciclo 5'!G:G))</f>
        <v/>
      </c>
      <c r="D9" s="196" t="str">
        <f>if(A9="",,iferror((sumif('Ciclo 1'!N:N,A9,'Ciclo 1'!H:H)+sumif('Ciclo 2'!N:N,A9,'Ciclo 2'!H:H)+sumif('Ciclo 3'!N:N,A9,'Ciclo 3'!H:H)+sumif('Ciclo 4'!N:N,A9,'Ciclo 4'!H:H)+sumif('Ciclo 5'!N:N,A9,'Ciclo 5'!H:H))/B9,""))</f>
        <v/>
      </c>
      <c r="E9" s="196" t="str">
        <f t="shared" si="1"/>
        <v/>
      </c>
      <c r="G9" s="195"/>
      <c r="H9" s="195" t="str">
        <f>if(G9="",, sumif('Ciclo 1'!P:P,G9,'Ciclo 1'!R:R)+sumif('Ciclo 2'!P:P,G9,'Ciclo 2'!R:R)+sumif('Ciclo 3'!P:P,G9,'Ciclo 3'!R:R)+sumif('Ciclo 4'!P:P,G9,'Ciclo 4'!R:R)+sumif('Ciclo 5'!P:P,G9,'Ciclo 5'!R:R))</f>
        <v/>
      </c>
      <c r="I9" s="198" t="str">
        <f>if(G9="",, sumif('Ciclo 1'!P:P,G9,'Ciclo 1'!Q:Q)+sumif('Ciclo 2'!P:P,G9,'Ciclo 2'!Q:Q)+sumif('Ciclo 3'!P:P,G9,'Ciclo 3'!Q:Q)+sumif('Ciclo 4'!P:P,G9,'Ciclo 4'!Q:Q)+sumif('Ciclo 5'!P:P,G9,'Ciclo 5'!Q:Q))</f>
        <v/>
      </c>
      <c r="J9" s="196" t="str">
        <f>if(G9="","", iferror(averageif('Ciclo 1'!V$3:V1000,G9,'Ciclo 1'!H$3:H1000),0)+iferror(averageif('Ciclo 1'!W$3:W1000,G9,'Ciclo 1'!H$3:H1000)+iferror(averageif('Ciclo 2'!V$3:V1000,G9,'Ciclo 2'!H$3:H1000),0)+iferror(averageif('Ciclo 2'!W$3:W1000,G9,'Ciclo 2'!H$3:H1000)+iferror(averageif('Ciclo 3'!V$3:V1000,G9,'Ciclo 3'!H$3:H1000),0)+iferror(averageif('Ciclo 3'!W$3:W1000,G9,'Ciclo 3'!H$3:H1000)+iferror(averageif('Ciclo 4'!V$3:V1000,G9,'Ciclo 4'!H$3:H1000),0)+iferror(averageif('Ciclo 4'!W$3:W1000,G9,'Ciclo 4'!H$3:H1000)+iferror(averageif('Ciclo 5'!V$3:V1000,G9,'Ciclo 5'!H$3:H1000),0)+iferror(averageif('Ciclo 5'!W$3:W1000,G9,'Ciclo 5'!H$3:H1000),0),""),""),""),""))</f>
        <v/>
      </c>
      <c r="K9" s="196" t="str">
        <f t="shared" si="2"/>
        <v/>
      </c>
      <c r="M9" s="188" t="s">
        <v>74</v>
      </c>
      <c r="N9" s="188" t="s">
        <v>74</v>
      </c>
      <c r="O9" s="189"/>
      <c r="P9" s="188">
        <v>8.0</v>
      </c>
      <c r="Q9" s="199">
        <f t="shared" si="3"/>
        <v>136.856905</v>
      </c>
      <c r="R9" s="193">
        <f>IF(P9&lt;=$T$2,R8*(1-Diretrizes!$C$5),)</f>
        <v>0.04</v>
      </c>
      <c r="S9" s="191">
        <f t="shared" si="4"/>
        <v>0.3685690504</v>
      </c>
      <c r="U9" s="189"/>
      <c r="W9" t="s">
        <v>64</v>
      </c>
      <c r="Y9" s="193"/>
      <c r="Z9" s="193"/>
      <c r="AA9" s="189"/>
      <c r="AG9" s="189"/>
    </row>
    <row r="10">
      <c r="A10" s="195"/>
      <c r="B10" s="195" t="str">
        <f>if(A10="","", countif('Ciclo 1'!N:N,$A10)+countif('Ciclo 2'!N:N,$A10)+countif('Ciclo 3'!N:N,$A10)+countif('Ciclo 4'!N:N,$A10)+countif('Ciclo 5'!N:N,$A10))</f>
        <v/>
      </c>
      <c r="C10" s="195" t="str">
        <f>if(A10="",,sumif('Ciclo 1'!$N:$N,$A10,'Ciclo 1'!G:G)+sumif('Ciclo 2'!$N:$N,$A10,'Ciclo 2'!G:G)+sumif('Ciclo 3'!$N:$N,$A10,'Ciclo 3'!G:G)+sumif('Ciclo 4'!$N:$N,$A10,'Ciclo 4'!G:G)+sumif('Ciclo 5'!$N:$N,$A10,'Ciclo 5'!G:G))</f>
        <v/>
      </c>
      <c r="D10" s="196" t="str">
        <f>if(A10="",,iferror((sumif('Ciclo 1'!N:N,A10,'Ciclo 1'!H:H)+sumif('Ciclo 2'!N:N,A10,'Ciclo 2'!H:H)+sumif('Ciclo 3'!N:N,A10,'Ciclo 3'!H:H)+sumif('Ciclo 4'!N:N,A10,'Ciclo 4'!H:H)+sumif('Ciclo 5'!N:N,A10,'Ciclo 5'!H:H))/B10,""))</f>
        <v/>
      </c>
      <c r="E10" s="196" t="str">
        <f t="shared" si="1"/>
        <v/>
      </c>
      <c r="G10" s="195"/>
      <c r="H10" s="195" t="str">
        <f>if(G10="",, sumif('Ciclo 1'!P:P,G10,'Ciclo 1'!R:R)+sumif('Ciclo 2'!P:P,G10,'Ciclo 2'!R:R)+sumif('Ciclo 3'!P:P,G10,'Ciclo 3'!R:R)+sumif('Ciclo 4'!P:P,G10,'Ciclo 4'!R:R)+sumif('Ciclo 5'!P:P,G10,'Ciclo 5'!R:R))</f>
        <v/>
      </c>
      <c r="I10" s="198" t="str">
        <f>if(G10="",, sumif('Ciclo 1'!P:P,G10,'Ciclo 1'!Q:Q)+sumif('Ciclo 2'!P:P,G10,'Ciclo 2'!Q:Q)+sumif('Ciclo 3'!P:P,G10,'Ciclo 3'!Q:Q)+sumif('Ciclo 4'!P:P,G10,'Ciclo 4'!Q:Q)+sumif('Ciclo 5'!P:P,G10,'Ciclo 5'!Q:Q))</f>
        <v/>
      </c>
      <c r="J10" s="196" t="str">
        <f>if(G10="","", iferror(averageif('Ciclo 1'!V$3:V1000,G10,'Ciclo 1'!H$3:H1000),0)+iferror(averageif('Ciclo 1'!W$3:W1000,G10,'Ciclo 1'!H$3:H1000)+iferror(averageif('Ciclo 2'!V$3:V1000,G10,'Ciclo 2'!H$3:H1000),0)+iferror(averageif('Ciclo 2'!W$3:W1000,G10,'Ciclo 2'!H$3:H1000)+iferror(averageif('Ciclo 3'!V$3:V1000,G10,'Ciclo 3'!H$3:H1000),0)+iferror(averageif('Ciclo 3'!W$3:W1000,G10,'Ciclo 3'!H$3:H1000)+iferror(averageif('Ciclo 4'!V$3:V1000,G10,'Ciclo 4'!H$3:H1000),0)+iferror(averageif('Ciclo 4'!W$3:W1000,G10,'Ciclo 4'!H$3:H1000)+iferror(averageif('Ciclo 5'!V$3:V1000,G10,'Ciclo 5'!H$3:H1000),0)+iferror(averageif('Ciclo 5'!W$3:W1000,G10,'Ciclo 5'!H$3:H1000),0),""),""),""),""))</f>
        <v/>
      </c>
      <c r="K10" s="196" t="str">
        <f t="shared" si="2"/>
        <v/>
      </c>
      <c r="M10" s="188" t="s">
        <v>75</v>
      </c>
      <c r="N10" s="188" t="s">
        <v>75</v>
      </c>
      <c r="O10" s="189"/>
      <c r="P10" s="188">
        <v>9.0</v>
      </c>
      <c r="Q10" s="199">
        <f t="shared" si="3"/>
        <v>142.3311812</v>
      </c>
      <c r="R10" s="193">
        <f>IF(P10&lt;=$T$2,R9*(1-Diretrizes!$C$5),)</f>
        <v>0.04</v>
      </c>
      <c r="S10" s="191">
        <f t="shared" si="4"/>
        <v>0.4233118124</v>
      </c>
      <c r="U10" s="189"/>
      <c r="W10" t="s">
        <v>64</v>
      </c>
      <c r="Y10" s="193"/>
      <c r="Z10" s="193"/>
      <c r="AA10" s="189"/>
      <c r="AG10" s="189"/>
    </row>
    <row r="11">
      <c r="A11" s="195"/>
      <c r="B11" s="195" t="str">
        <f>if(A11="","", countif('Ciclo 1'!N:N,$A11)+countif('Ciclo 2'!N:N,$A11)+countif('Ciclo 3'!N:N,$A11)+countif('Ciclo 4'!N:N,$A11)+countif('Ciclo 5'!N:N,$A11))</f>
        <v/>
      </c>
      <c r="C11" s="195" t="str">
        <f>if(A11="",,sumif('Ciclo 1'!$N:$N,$A11,'Ciclo 1'!G:G)+sumif('Ciclo 2'!$N:$N,$A11,'Ciclo 2'!G:G)+sumif('Ciclo 3'!$N:$N,$A11,'Ciclo 3'!G:G)+sumif('Ciclo 4'!$N:$N,$A11,'Ciclo 4'!G:G)+sumif('Ciclo 5'!$N:$N,$A11,'Ciclo 5'!G:G))</f>
        <v/>
      </c>
      <c r="D11" s="196" t="str">
        <f>if(A11="",,iferror((sumif('Ciclo 1'!N:N,A11,'Ciclo 1'!H:H)+sumif('Ciclo 2'!N:N,A11,'Ciclo 2'!H:H)+sumif('Ciclo 3'!N:N,A11,'Ciclo 3'!H:H)+sumif('Ciclo 4'!N:N,A11,'Ciclo 4'!H:H)+sumif('Ciclo 5'!N:N,A11,'Ciclo 5'!H:H))/B11,""))</f>
        <v/>
      </c>
      <c r="E11" s="196" t="str">
        <f t="shared" si="1"/>
        <v/>
      </c>
      <c r="G11" s="195"/>
      <c r="H11" s="195" t="str">
        <f>if(G11="",, sumif('Ciclo 1'!P:P,G11,'Ciclo 1'!R:R)+sumif('Ciclo 2'!P:P,G11,'Ciclo 2'!R:R)+sumif('Ciclo 3'!P:P,G11,'Ciclo 3'!R:R)+sumif('Ciclo 4'!P:P,G11,'Ciclo 4'!R:R)+sumif('Ciclo 5'!P:P,G11,'Ciclo 5'!R:R))</f>
        <v/>
      </c>
      <c r="I11" s="198" t="str">
        <f>if(G11="",, sumif('Ciclo 1'!P:P,G11,'Ciclo 1'!Q:Q)+sumif('Ciclo 2'!P:P,G11,'Ciclo 2'!Q:Q)+sumif('Ciclo 3'!P:P,G11,'Ciclo 3'!Q:Q)+sumif('Ciclo 4'!P:P,G11,'Ciclo 4'!Q:Q)+sumif('Ciclo 5'!P:P,G11,'Ciclo 5'!Q:Q))</f>
        <v/>
      </c>
      <c r="J11" s="196" t="str">
        <f>if(G11="","", iferror(averageif('Ciclo 1'!V$3:V1000,G11,'Ciclo 1'!H$3:H1000),0)+iferror(averageif('Ciclo 1'!W$3:W1000,G11,'Ciclo 1'!H$3:H1000)+iferror(averageif('Ciclo 2'!V$3:V1000,G11,'Ciclo 2'!H$3:H1000),0)+iferror(averageif('Ciclo 2'!W$3:W1000,G11,'Ciclo 2'!H$3:H1000)+iferror(averageif('Ciclo 3'!V$3:V1000,G11,'Ciclo 3'!H$3:H1000),0)+iferror(averageif('Ciclo 3'!W$3:W1000,G11,'Ciclo 3'!H$3:H1000)+iferror(averageif('Ciclo 4'!V$3:V1000,G11,'Ciclo 4'!H$3:H1000),0)+iferror(averageif('Ciclo 4'!W$3:W1000,G11,'Ciclo 4'!H$3:H1000)+iferror(averageif('Ciclo 5'!V$3:V1000,G11,'Ciclo 5'!H$3:H1000),0)+iferror(averageif('Ciclo 5'!W$3:W1000,G11,'Ciclo 5'!H$3:H1000),0),""),""),""),""))</f>
        <v/>
      </c>
      <c r="K11" s="196" t="str">
        <f t="shared" si="2"/>
        <v/>
      </c>
      <c r="M11" s="188" t="s">
        <v>76</v>
      </c>
      <c r="N11" s="188" t="s">
        <v>76</v>
      </c>
      <c r="O11" s="189"/>
      <c r="P11" s="188">
        <v>10.0</v>
      </c>
      <c r="Q11" s="199">
        <f t="shared" si="3"/>
        <v>148.0244285</v>
      </c>
      <c r="R11" s="193">
        <f>IF(P11&lt;=$T$2,R10*(1-Diretrizes!$C$5),)</f>
        <v>0.04</v>
      </c>
      <c r="S11" s="191">
        <f t="shared" si="4"/>
        <v>0.4802442849</v>
      </c>
      <c r="U11" s="189"/>
      <c r="W11" t="s">
        <v>64</v>
      </c>
      <c r="Y11" s="193"/>
      <c r="Z11" s="193"/>
      <c r="AA11" s="189"/>
      <c r="AG11" s="189"/>
    </row>
    <row r="12">
      <c r="A12" s="195"/>
      <c r="B12" s="195" t="str">
        <f>if(A12="","", countif('Ciclo 1'!N:N,$A12)+countif('Ciclo 2'!N:N,$A12)+countif('Ciclo 3'!N:N,$A12)+countif('Ciclo 4'!N:N,$A12)+countif('Ciclo 5'!N:N,$A12))</f>
        <v/>
      </c>
      <c r="C12" s="195" t="str">
        <f>if(A12="",,sumif('Ciclo 1'!$N:$N,$A12,'Ciclo 1'!G:G)+sumif('Ciclo 2'!$N:$N,$A12,'Ciclo 2'!G:G)+sumif('Ciclo 3'!$N:$N,$A12,'Ciclo 3'!G:G)+sumif('Ciclo 4'!$N:$N,$A12,'Ciclo 4'!G:G)+sumif('Ciclo 5'!$N:$N,$A12,'Ciclo 5'!G:G))</f>
        <v/>
      </c>
      <c r="D12" s="196" t="str">
        <f>if(A12="",,iferror((sumif('Ciclo 1'!N:N,A12,'Ciclo 1'!H:H)+sumif('Ciclo 2'!N:N,A12,'Ciclo 2'!H:H)+sumif('Ciclo 3'!N:N,A12,'Ciclo 3'!H:H)+sumif('Ciclo 4'!N:N,A12,'Ciclo 4'!H:H)+sumif('Ciclo 5'!N:N,A12,'Ciclo 5'!H:H))/B12,""))</f>
        <v/>
      </c>
      <c r="E12" s="196" t="str">
        <f t="shared" si="1"/>
        <v/>
      </c>
      <c r="G12" s="195"/>
      <c r="H12" s="195" t="str">
        <f>if(G12="",, sumif('Ciclo 1'!P:P,G12,'Ciclo 1'!R:R)+sumif('Ciclo 2'!P:P,G12,'Ciclo 2'!R:R)+sumif('Ciclo 3'!P:P,G12,'Ciclo 3'!R:R)+sumif('Ciclo 4'!P:P,G12,'Ciclo 4'!R:R)+sumif('Ciclo 5'!P:P,G12,'Ciclo 5'!R:R))</f>
        <v/>
      </c>
      <c r="I12" s="198" t="str">
        <f>if(G12="",, sumif('Ciclo 1'!P:P,G12,'Ciclo 1'!Q:Q)+sumif('Ciclo 2'!P:P,G12,'Ciclo 2'!Q:Q)+sumif('Ciclo 3'!P:P,G12,'Ciclo 3'!Q:Q)+sumif('Ciclo 4'!P:P,G12,'Ciclo 4'!Q:Q)+sumif('Ciclo 5'!P:P,G12,'Ciclo 5'!Q:Q))</f>
        <v/>
      </c>
      <c r="J12" s="196" t="str">
        <f>if(G12="","", iferror(averageif('Ciclo 1'!V$3:V1000,G12,'Ciclo 1'!H$3:H1000),0)+iferror(averageif('Ciclo 1'!W$3:W1000,G12,'Ciclo 1'!H$3:H1000)+iferror(averageif('Ciclo 2'!V$3:V1000,G12,'Ciclo 2'!H$3:H1000),0)+iferror(averageif('Ciclo 2'!W$3:W1000,G12,'Ciclo 2'!H$3:H1000)+iferror(averageif('Ciclo 3'!V$3:V1000,G12,'Ciclo 3'!H$3:H1000),0)+iferror(averageif('Ciclo 3'!W$3:W1000,G12,'Ciclo 3'!H$3:H1000)+iferror(averageif('Ciclo 4'!V$3:V1000,G12,'Ciclo 4'!H$3:H1000),0)+iferror(averageif('Ciclo 4'!W$3:W1000,G12,'Ciclo 4'!H$3:H1000)+iferror(averageif('Ciclo 5'!V$3:V1000,G12,'Ciclo 5'!H$3:H1000),0)+iferror(averageif('Ciclo 5'!W$3:W1000,G12,'Ciclo 5'!H$3:H1000),0),""),""),""),""))</f>
        <v/>
      </c>
      <c r="K12" s="196" t="str">
        <f t="shared" si="2"/>
        <v/>
      </c>
      <c r="M12" s="188" t="s">
        <v>77</v>
      </c>
      <c r="N12" s="188" t="s">
        <v>78</v>
      </c>
      <c r="O12" s="189"/>
      <c r="P12" s="188">
        <v>11.0</v>
      </c>
      <c r="Q12" s="199">
        <f t="shared" si="3"/>
        <v>153.9454056</v>
      </c>
      <c r="R12" s="193">
        <f>IF(P12&lt;=$T$2,R11*(1-Diretrizes!$C$5),)</f>
        <v>0.04</v>
      </c>
      <c r="S12" s="191">
        <f t="shared" si="4"/>
        <v>0.5394540563</v>
      </c>
      <c r="U12" s="189"/>
      <c r="W12" t="s">
        <v>64</v>
      </c>
      <c r="Y12" s="193"/>
      <c r="Z12" s="193"/>
      <c r="AA12" s="189"/>
      <c r="AG12" s="189"/>
    </row>
    <row r="13">
      <c r="A13" s="195"/>
      <c r="B13" s="195" t="str">
        <f>if(A13="","", countif('Ciclo 1'!N:N,$A13)+countif('Ciclo 2'!N:N,$A13)+countif('Ciclo 3'!N:N,$A13)+countif('Ciclo 4'!N:N,$A13)+countif('Ciclo 5'!N:N,$A13))</f>
        <v/>
      </c>
      <c r="C13" s="195" t="str">
        <f>if(A13="",,sumif('Ciclo 1'!$N:$N,$A13,'Ciclo 1'!G:G)+sumif('Ciclo 2'!$N:$N,$A13,'Ciclo 2'!G:G)+sumif('Ciclo 3'!$N:$N,$A13,'Ciclo 3'!G:G)+sumif('Ciclo 4'!$N:$N,$A13,'Ciclo 4'!G:G)+sumif('Ciclo 5'!$N:$N,$A13,'Ciclo 5'!G:G))</f>
        <v/>
      </c>
      <c r="D13" s="196" t="str">
        <f>if(A13="",,iferror((sumif('Ciclo 1'!N:N,A13,'Ciclo 1'!H:H)+sumif('Ciclo 2'!N:N,A13,'Ciclo 2'!H:H)+sumif('Ciclo 3'!N:N,A13,'Ciclo 3'!H:H)+sumif('Ciclo 4'!N:N,A13,'Ciclo 4'!H:H)+sumif('Ciclo 5'!N:N,A13,'Ciclo 5'!H:H))/B13,""))</f>
        <v/>
      </c>
      <c r="E13" s="196" t="str">
        <f t="shared" si="1"/>
        <v/>
      </c>
      <c r="G13" s="195"/>
      <c r="H13" s="195" t="str">
        <f>if(G13="",, sumif('Ciclo 1'!P:P,G13,'Ciclo 1'!R:R)+sumif('Ciclo 2'!P:P,G13,'Ciclo 2'!R:R)+sumif('Ciclo 3'!P:P,G13,'Ciclo 3'!R:R)+sumif('Ciclo 4'!P:P,G13,'Ciclo 4'!R:R)+sumif('Ciclo 5'!P:P,G13,'Ciclo 5'!R:R))</f>
        <v/>
      </c>
      <c r="I13" s="198" t="str">
        <f>if(G13="",, sumif('Ciclo 1'!P:P,G13,'Ciclo 1'!Q:Q)+sumif('Ciclo 2'!P:P,G13,'Ciclo 2'!Q:Q)+sumif('Ciclo 3'!P:P,G13,'Ciclo 3'!Q:Q)+sumif('Ciclo 4'!P:P,G13,'Ciclo 4'!Q:Q)+sumif('Ciclo 5'!P:P,G13,'Ciclo 5'!Q:Q))</f>
        <v/>
      </c>
      <c r="J13" s="196" t="str">
        <f>if(G13="","", iferror(averageif('Ciclo 1'!V$3:V1000,G13,'Ciclo 1'!H$3:H1000),0)+iferror(averageif('Ciclo 1'!W$3:W1000,G13,'Ciclo 1'!H$3:H1000)+iferror(averageif('Ciclo 2'!V$3:V1000,G13,'Ciclo 2'!H$3:H1000),0)+iferror(averageif('Ciclo 2'!W$3:W1000,G13,'Ciclo 2'!H$3:H1000)+iferror(averageif('Ciclo 3'!V$3:V1000,G13,'Ciclo 3'!H$3:H1000),0)+iferror(averageif('Ciclo 3'!W$3:W1000,G13,'Ciclo 3'!H$3:H1000)+iferror(averageif('Ciclo 4'!V$3:V1000,G13,'Ciclo 4'!H$3:H1000),0)+iferror(averageif('Ciclo 4'!W$3:W1000,G13,'Ciclo 4'!H$3:H1000)+iferror(averageif('Ciclo 5'!V$3:V1000,G13,'Ciclo 5'!H$3:H1000),0)+iferror(averageif('Ciclo 5'!W$3:W1000,G13,'Ciclo 5'!H$3:H1000),0),""),""),""),""))</f>
        <v/>
      </c>
      <c r="K13" s="196" t="str">
        <f t="shared" si="2"/>
        <v/>
      </c>
      <c r="O13" s="189"/>
      <c r="P13" s="188">
        <v>12.0</v>
      </c>
      <c r="Q13" s="199">
        <f t="shared" si="3"/>
        <v>160.1032219</v>
      </c>
      <c r="R13" s="193">
        <f>IF(P13&lt;=$T$2,R12*(1-Diretrizes!$C$5),)</f>
        <v>0.04</v>
      </c>
      <c r="S13" s="191">
        <f t="shared" si="4"/>
        <v>0.6010322186</v>
      </c>
      <c r="U13" s="189"/>
      <c r="W13" t="s">
        <v>64</v>
      </c>
      <c r="Y13" s="193"/>
      <c r="Z13" s="193"/>
      <c r="AA13" s="189"/>
      <c r="AG13" s="189"/>
    </row>
    <row r="14">
      <c r="A14" s="195"/>
      <c r="B14" s="195" t="str">
        <f>if(A14="","", countif('Ciclo 1'!N:N,$A14)+countif('Ciclo 2'!N:N,$A14)+countif('Ciclo 3'!N:N,$A14)+countif('Ciclo 4'!N:N,$A14)+countif('Ciclo 5'!N:N,$A14))</f>
        <v/>
      </c>
      <c r="C14" s="195" t="str">
        <f>if(A14="",,sumif('Ciclo 1'!$N:$N,$A14,'Ciclo 1'!G:G)+sumif('Ciclo 2'!$N:$N,$A14,'Ciclo 2'!G:G)+sumif('Ciclo 3'!$N:$N,$A14,'Ciclo 3'!G:G)+sumif('Ciclo 4'!$N:$N,$A14,'Ciclo 4'!G:G)+sumif('Ciclo 5'!$N:$N,$A14,'Ciclo 5'!G:G))</f>
        <v/>
      </c>
      <c r="D14" s="196" t="str">
        <f>if(A14="",,iferror((sumif('Ciclo 1'!N:N,A14,'Ciclo 1'!H:H)+sumif('Ciclo 2'!N:N,A14,'Ciclo 2'!H:H)+sumif('Ciclo 3'!N:N,A14,'Ciclo 3'!H:H)+sumif('Ciclo 4'!N:N,A14,'Ciclo 4'!H:H)+sumif('Ciclo 5'!N:N,A14,'Ciclo 5'!H:H))/B14,""))</f>
        <v/>
      </c>
      <c r="E14" s="196" t="str">
        <f t="shared" si="1"/>
        <v/>
      </c>
      <c r="G14" s="195"/>
      <c r="H14" s="195" t="str">
        <f>if(G14="",, sumif('Ciclo 1'!P:P,G14,'Ciclo 1'!R:R)+sumif('Ciclo 2'!P:P,G14,'Ciclo 2'!R:R)+sumif('Ciclo 3'!P:P,G14,'Ciclo 3'!R:R)+sumif('Ciclo 4'!P:P,G14,'Ciclo 4'!R:R)+sumif('Ciclo 5'!P:P,G14,'Ciclo 5'!R:R))</f>
        <v/>
      </c>
      <c r="I14" s="198" t="str">
        <f>if(G14="",, sumif('Ciclo 1'!P:P,G14,'Ciclo 1'!Q:Q)+sumif('Ciclo 2'!P:P,G14,'Ciclo 2'!Q:Q)+sumif('Ciclo 3'!P:P,G14,'Ciclo 3'!Q:Q)+sumif('Ciclo 4'!P:P,G14,'Ciclo 4'!Q:Q)+sumif('Ciclo 5'!P:P,G14,'Ciclo 5'!Q:Q))</f>
        <v/>
      </c>
      <c r="J14" s="196" t="str">
        <f>if(G14="","", iferror(averageif('Ciclo 1'!V$3:V1000,G14,'Ciclo 1'!H$3:H1000),0)+iferror(averageif('Ciclo 1'!W$3:W1000,G14,'Ciclo 1'!H$3:H1000)+iferror(averageif('Ciclo 2'!V$3:V1000,G14,'Ciclo 2'!H$3:H1000),0)+iferror(averageif('Ciclo 2'!W$3:W1000,G14,'Ciclo 2'!H$3:H1000)+iferror(averageif('Ciclo 3'!V$3:V1000,G14,'Ciclo 3'!H$3:H1000),0)+iferror(averageif('Ciclo 3'!W$3:W1000,G14,'Ciclo 3'!H$3:H1000)+iferror(averageif('Ciclo 4'!V$3:V1000,G14,'Ciclo 4'!H$3:H1000),0)+iferror(averageif('Ciclo 4'!W$3:W1000,G14,'Ciclo 4'!H$3:H1000)+iferror(averageif('Ciclo 5'!V$3:V1000,G14,'Ciclo 5'!H$3:H1000),0)+iferror(averageif('Ciclo 5'!W$3:W1000,G14,'Ciclo 5'!H$3:H1000),0),""),""),""),""))</f>
        <v/>
      </c>
      <c r="K14" s="196" t="str">
        <f t="shared" si="2"/>
        <v/>
      </c>
      <c r="O14" s="189"/>
      <c r="P14" s="188">
        <v>13.0</v>
      </c>
      <c r="Q14" s="199" t="str">
        <f t="shared" si="3"/>
        <v/>
      </c>
      <c r="R14" s="193" t="str">
        <f>IF(P14&lt;=$T$2,R13*(1-Diretrizes!$C$5),)</f>
        <v/>
      </c>
      <c r="S14" s="191" t="str">
        <f t="shared" si="4"/>
        <v/>
      </c>
      <c r="U14" s="189"/>
      <c r="W14" t="s">
        <v>64</v>
      </c>
      <c r="Y14" s="193"/>
      <c r="Z14" s="193"/>
      <c r="AA14" s="189"/>
      <c r="AG14" s="189"/>
    </row>
    <row r="15">
      <c r="A15" s="195"/>
      <c r="B15" s="195" t="str">
        <f>if(A15="","", countif('Ciclo 1'!N:N,$A15)+countif('Ciclo 2'!N:N,$A15)+countif('Ciclo 3'!N:N,$A15)+countif('Ciclo 4'!N:N,$A15)+countif('Ciclo 5'!N:N,$A15))</f>
        <v/>
      </c>
      <c r="C15" s="195" t="str">
        <f>if(A15="",,sumif('Ciclo 1'!$N:$N,$A15,'Ciclo 1'!G:G)+sumif('Ciclo 2'!$N:$N,$A15,'Ciclo 2'!G:G)+sumif('Ciclo 3'!$N:$N,$A15,'Ciclo 3'!G:G)+sumif('Ciclo 4'!$N:$N,$A15,'Ciclo 4'!G:G)+sumif('Ciclo 5'!$N:$N,$A15,'Ciclo 5'!G:G))</f>
        <v/>
      </c>
      <c r="D15" s="196" t="str">
        <f>if(A15="",,iferror((sumif('Ciclo 1'!N:N,A15,'Ciclo 1'!H:H)+sumif('Ciclo 2'!N:N,A15,'Ciclo 2'!H:H)+sumif('Ciclo 3'!N:N,A15,'Ciclo 3'!H:H)+sumif('Ciclo 4'!N:N,A15,'Ciclo 4'!H:H)+sumif('Ciclo 5'!N:N,A15,'Ciclo 5'!H:H))/B15,""))</f>
        <v/>
      </c>
      <c r="E15" s="196" t="str">
        <f t="shared" si="1"/>
        <v/>
      </c>
      <c r="G15" s="195"/>
      <c r="H15" s="195" t="str">
        <f>if(G15="",, sumif('Ciclo 1'!P:P,G15,'Ciclo 1'!R:R)+sumif('Ciclo 2'!P:P,G15,'Ciclo 2'!R:R)+sumif('Ciclo 3'!P:P,G15,'Ciclo 3'!R:R)+sumif('Ciclo 4'!P:P,G15,'Ciclo 4'!R:R)+sumif('Ciclo 5'!P:P,G15,'Ciclo 5'!R:R))</f>
        <v/>
      </c>
      <c r="I15" s="198" t="str">
        <f>if(G15="",, sumif('Ciclo 1'!P:P,G15,'Ciclo 1'!Q:Q)+sumif('Ciclo 2'!P:P,G15,'Ciclo 2'!Q:Q)+sumif('Ciclo 3'!P:P,G15,'Ciclo 3'!Q:Q)+sumif('Ciclo 4'!P:P,G15,'Ciclo 4'!Q:Q)+sumif('Ciclo 5'!P:P,G15,'Ciclo 5'!Q:Q))</f>
        <v/>
      </c>
      <c r="J15" s="196" t="str">
        <f>if(G15="","", iferror(averageif('Ciclo 1'!V$3:V1000,G15,'Ciclo 1'!H$3:H1000),0)+iferror(averageif('Ciclo 1'!W$3:W1000,G15,'Ciclo 1'!H$3:H1000)+iferror(averageif('Ciclo 2'!V$3:V1000,G15,'Ciclo 2'!H$3:H1000),0)+iferror(averageif('Ciclo 2'!W$3:W1000,G15,'Ciclo 2'!H$3:H1000)+iferror(averageif('Ciclo 3'!V$3:V1000,G15,'Ciclo 3'!H$3:H1000),0)+iferror(averageif('Ciclo 3'!W$3:W1000,G15,'Ciclo 3'!H$3:H1000)+iferror(averageif('Ciclo 4'!V$3:V1000,G15,'Ciclo 4'!H$3:H1000),0)+iferror(averageif('Ciclo 4'!W$3:W1000,G15,'Ciclo 4'!H$3:H1000)+iferror(averageif('Ciclo 5'!V$3:V1000,G15,'Ciclo 5'!H$3:H1000),0)+iferror(averageif('Ciclo 5'!W$3:W1000,G15,'Ciclo 5'!H$3:H1000),0),""),""),""),""))</f>
        <v/>
      </c>
      <c r="K15" s="196" t="str">
        <f t="shared" si="2"/>
        <v/>
      </c>
      <c r="O15" s="189"/>
      <c r="P15" s="188">
        <v>14.0</v>
      </c>
      <c r="Q15" s="199" t="str">
        <f t="shared" si="3"/>
        <v/>
      </c>
      <c r="R15" s="193" t="str">
        <f>IF(P15&lt;=$T$2,R14*(1-Diretrizes!$C$5),)</f>
        <v/>
      </c>
      <c r="S15" s="191" t="str">
        <f t="shared" si="4"/>
        <v/>
      </c>
      <c r="U15" s="189"/>
      <c r="W15" t="s">
        <v>64</v>
      </c>
      <c r="Y15" s="193"/>
      <c r="Z15" s="193"/>
      <c r="AA15" s="189"/>
      <c r="AG15" s="189"/>
    </row>
    <row r="16">
      <c r="A16" s="195"/>
      <c r="B16" s="195" t="str">
        <f>if(A16="","", countif('Ciclo 1'!N:N,$A16)+countif('Ciclo 2'!N:N,$A16)+countif('Ciclo 3'!N:N,$A16)+countif('Ciclo 4'!N:N,$A16)+countif('Ciclo 5'!N:N,$A16))</f>
        <v/>
      </c>
      <c r="C16" s="195" t="str">
        <f>if(A16="",,sumif('Ciclo 1'!$N:$N,$A16,'Ciclo 1'!G:G)+sumif('Ciclo 2'!$N:$N,$A16,'Ciclo 2'!G:G)+sumif('Ciclo 3'!$N:$N,$A16,'Ciclo 3'!G:G)+sumif('Ciclo 4'!$N:$N,$A16,'Ciclo 4'!G:G)+sumif('Ciclo 5'!$N:$N,$A16,'Ciclo 5'!G:G))</f>
        <v/>
      </c>
      <c r="D16" s="196" t="str">
        <f>if(A16="",,iferror((sumif('Ciclo 1'!N:N,A16,'Ciclo 1'!H:H)+sumif('Ciclo 2'!N:N,A16,'Ciclo 2'!H:H)+sumif('Ciclo 3'!N:N,A16,'Ciclo 3'!H:H)+sumif('Ciclo 4'!N:N,A16,'Ciclo 4'!H:H)+sumif('Ciclo 5'!N:N,A16,'Ciclo 5'!H:H))/B16,""))</f>
        <v/>
      </c>
      <c r="E16" s="196" t="str">
        <f t="shared" si="1"/>
        <v/>
      </c>
      <c r="G16" s="195"/>
      <c r="H16" s="195" t="str">
        <f>if(G16="",, sumif('Ciclo 1'!P:P,G16,'Ciclo 1'!R:R)+sumif('Ciclo 2'!P:P,G16,'Ciclo 2'!R:R)+sumif('Ciclo 3'!P:P,G16,'Ciclo 3'!R:R)+sumif('Ciclo 4'!P:P,G16,'Ciclo 4'!R:R)+sumif('Ciclo 5'!P:P,G16,'Ciclo 5'!R:R))</f>
        <v/>
      </c>
      <c r="I16" s="198" t="str">
        <f>if(G16="",, sumif('Ciclo 1'!P:P,G16,'Ciclo 1'!Q:Q)+sumif('Ciclo 2'!P:P,G16,'Ciclo 2'!Q:Q)+sumif('Ciclo 3'!P:P,G16,'Ciclo 3'!Q:Q)+sumif('Ciclo 4'!P:P,G16,'Ciclo 4'!Q:Q)+sumif('Ciclo 5'!P:P,G16,'Ciclo 5'!Q:Q))</f>
        <v/>
      </c>
      <c r="J16" s="196" t="str">
        <f>if(G16="","", iferror(averageif('Ciclo 1'!V$3:V1000,G16,'Ciclo 1'!H$3:H1000),0)+iferror(averageif('Ciclo 1'!W$3:W1000,G16,'Ciclo 1'!H$3:H1000)+iferror(averageif('Ciclo 2'!V$3:V1000,G16,'Ciclo 2'!H$3:H1000),0)+iferror(averageif('Ciclo 2'!W$3:W1000,G16,'Ciclo 2'!H$3:H1000)+iferror(averageif('Ciclo 3'!V$3:V1000,G16,'Ciclo 3'!H$3:H1000),0)+iferror(averageif('Ciclo 3'!W$3:W1000,G16,'Ciclo 3'!H$3:H1000)+iferror(averageif('Ciclo 4'!V$3:V1000,G16,'Ciclo 4'!H$3:H1000),0)+iferror(averageif('Ciclo 4'!W$3:W1000,G16,'Ciclo 4'!H$3:H1000)+iferror(averageif('Ciclo 5'!V$3:V1000,G16,'Ciclo 5'!H$3:H1000),0)+iferror(averageif('Ciclo 5'!W$3:W1000,G16,'Ciclo 5'!H$3:H1000),0),""),""),""),""))</f>
        <v/>
      </c>
      <c r="K16" s="196" t="str">
        <f t="shared" si="2"/>
        <v/>
      </c>
      <c r="O16" s="189"/>
      <c r="P16" s="188">
        <v>15.0</v>
      </c>
      <c r="Q16" s="199" t="str">
        <f t="shared" si="3"/>
        <v/>
      </c>
      <c r="R16" s="193" t="str">
        <f>IF(P16&lt;=$T$2,R15*(1-Diretrizes!$C$5),)</f>
        <v/>
      </c>
      <c r="S16" s="191" t="str">
        <f t="shared" si="4"/>
        <v/>
      </c>
      <c r="U16" s="189"/>
      <c r="W16" t="s">
        <v>64</v>
      </c>
      <c r="Y16" s="193"/>
      <c r="Z16" s="193"/>
      <c r="AA16" s="189"/>
      <c r="AG16" s="189"/>
    </row>
    <row r="17">
      <c r="A17" s="195"/>
      <c r="B17" s="195" t="str">
        <f>if(A17="","", countif('Ciclo 1'!N:N,$A17)+countif('Ciclo 2'!N:N,$A17)+countif('Ciclo 3'!N:N,$A17)+countif('Ciclo 4'!N:N,$A17)+countif('Ciclo 5'!N:N,$A17))</f>
        <v/>
      </c>
      <c r="C17" s="195" t="str">
        <f>if(A17="",,sumif('Ciclo 1'!$N:$N,$A17,'Ciclo 1'!G:G)+sumif('Ciclo 2'!$N:$N,$A17,'Ciclo 2'!G:G)+sumif('Ciclo 3'!$N:$N,$A17,'Ciclo 3'!G:G)+sumif('Ciclo 4'!$N:$N,$A17,'Ciclo 4'!G:G)+sumif('Ciclo 5'!$N:$N,$A17,'Ciclo 5'!G:G))</f>
        <v/>
      </c>
      <c r="D17" s="196" t="str">
        <f>if(A17="",,iferror((sumif('Ciclo 1'!N:N,A17,'Ciclo 1'!H:H)+sumif('Ciclo 2'!N:N,A17,'Ciclo 2'!H:H)+sumif('Ciclo 3'!N:N,A17,'Ciclo 3'!H:H)+sumif('Ciclo 4'!N:N,A17,'Ciclo 4'!H:H)+sumif('Ciclo 5'!N:N,A17,'Ciclo 5'!H:H))/B17,""))</f>
        <v/>
      </c>
      <c r="E17" s="196" t="str">
        <f t="shared" si="1"/>
        <v/>
      </c>
      <c r="G17" s="195"/>
      <c r="H17" s="195" t="str">
        <f>if(G17="",, sumif('Ciclo 1'!P:P,G17,'Ciclo 1'!R:R)+sumif('Ciclo 2'!P:P,G17,'Ciclo 2'!R:R)+sumif('Ciclo 3'!P:P,G17,'Ciclo 3'!R:R)+sumif('Ciclo 4'!P:P,G17,'Ciclo 4'!R:R)+sumif('Ciclo 5'!P:P,G17,'Ciclo 5'!R:R))</f>
        <v/>
      </c>
      <c r="I17" s="198" t="str">
        <f>if(G17="",, sumif('Ciclo 1'!P:P,G17,'Ciclo 1'!Q:Q)+sumif('Ciclo 2'!P:P,G17,'Ciclo 2'!Q:Q)+sumif('Ciclo 3'!P:P,G17,'Ciclo 3'!Q:Q)+sumif('Ciclo 4'!P:P,G17,'Ciclo 4'!Q:Q)+sumif('Ciclo 5'!P:P,G17,'Ciclo 5'!Q:Q))</f>
        <v/>
      </c>
      <c r="J17" s="196" t="str">
        <f>if(G17="","", iferror(averageif('Ciclo 1'!V$3:V1000,G17,'Ciclo 1'!H$3:H1000),0)+iferror(averageif('Ciclo 1'!W$3:W1000,G17,'Ciclo 1'!H$3:H1000)+iferror(averageif('Ciclo 2'!V$3:V1000,G17,'Ciclo 2'!H$3:H1000),0)+iferror(averageif('Ciclo 2'!W$3:W1000,G17,'Ciclo 2'!H$3:H1000)+iferror(averageif('Ciclo 3'!V$3:V1000,G17,'Ciclo 3'!H$3:H1000),0)+iferror(averageif('Ciclo 3'!W$3:W1000,G17,'Ciclo 3'!H$3:H1000)+iferror(averageif('Ciclo 4'!V$3:V1000,G17,'Ciclo 4'!H$3:H1000),0)+iferror(averageif('Ciclo 4'!W$3:W1000,G17,'Ciclo 4'!H$3:H1000)+iferror(averageif('Ciclo 5'!V$3:V1000,G17,'Ciclo 5'!H$3:H1000),0)+iferror(averageif('Ciclo 5'!W$3:W1000,G17,'Ciclo 5'!H$3:H1000),0),""),""),""),""))</f>
        <v/>
      </c>
      <c r="K17" s="196" t="str">
        <f t="shared" si="2"/>
        <v/>
      </c>
      <c r="O17" s="189"/>
      <c r="P17" s="188">
        <v>16.0</v>
      </c>
      <c r="Q17" s="199" t="str">
        <f t="shared" si="3"/>
        <v/>
      </c>
      <c r="R17" s="193" t="str">
        <f>IF(P17&lt;=$T$2,R16*(1-Diretrizes!$C$5),)</f>
        <v/>
      </c>
      <c r="S17" s="191" t="str">
        <f t="shared" si="4"/>
        <v/>
      </c>
      <c r="U17" s="189"/>
      <c r="W17" t="s">
        <v>64</v>
      </c>
      <c r="Y17" s="193"/>
      <c r="Z17" s="193"/>
      <c r="AA17" s="189"/>
      <c r="AG17" s="189"/>
    </row>
    <row r="18">
      <c r="A18" s="195"/>
      <c r="B18" s="195" t="str">
        <f>if(A18="","", countif('Ciclo 1'!N:N,$A18)+countif('Ciclo 2'!N:N,$A18)+countif('Ciclo 3'!N:N,$A18)+countif('Ciclo 4'!N:N,$A18)+countif('Ciclo 5'!N:N,$A18))</f>
        <v/>
      </c>
      <c r="C18" s="195" t="str">
        <f>if(A18="",,sumif('Ciclo 1'!$N:$N,$A18,'Ciclo 1'!G:G)+sumif('Ciclo 2'!$N:$N,$A18,'Ciclo 2'!G:G)+sumif('Ciclo 3'!$N:$N,$A18,'Ciclo 3'!G:G)+sumif('Ciclo 4'!$N:$N,$A18,'Ciclo 4'!G:G)+sumif('Ciclo 5'!$N:$N,$A18,'Ciclo 5'!G:G))</f>
        <v/>
      </c>
      <c r="D18" s="196" t="str">
        <f>if(A18="",,iferror((sumif('Ciclo 1'!N:N,A18,'Ciclo 1'!H:H)+sumif('Ciclo 2'!N:N,A18,'Ciclo 2'!H:H)+sumif('Ciclo 3'!N:N,A18,'Ciclo 3'!H:H)+sumif('Ciclo 4'!N:N,A18,'Ciclo 4'!H:H)+sumif('Ciclo 5'!N:N,A18,'Ciclo 5'!H:H))/B18,""))</f>
        <v/>
      </c>
      <c r="E18" s="196" t="str">
        <f t="shared" si="1"/>
        <v/>
      </c>
      <c r="G18" s="195"/>
      <c r="H18" s="195" t="str">
        <f>if(G18="",, sumif('Ciclo 1'!P:P,G18,'Ciclo 1'!R:R)+sumif('Ciclo 2'!P:P,G18,'Ciclo 2'!R:R)+sumif('Ciclo 3'!P:P,G18,'Ciclo 3'!R:R)+sumif('Ciclo 4'!P:P,G18,'Ciclo 4'!R:R)+sumif('Ciclo 5'!P:P,G18,'Ciclo 5'!R:R))</f>
        <v/>
      </c>
      <c r="I18" s="198" t="str">
        <f>if(G18="",, sumif('Ciclo 1'!P:P,G18,'Ciclo 1'!Q:Q)+sumif('Ciclo 2'!P:P,G18,'Ciclo 2'!Q:Q)+sumif('Ciclo 3'!P:P,G18,'Ciclo 3'!Q:Q)+sumif('Ciclo 4'!P:P,G18,'Ciclo 4'!Q:Q)+sumif('Ciclo 5'!P:P,G18,'Ciclo 5'!Q:Q))</f>
        <v/>
      </c>
      <c r="J18" s="196" t="str">
        <f>if(G18="","", iferror(averageif('Ciclo 1'!V$3:V1000,G18,'Ciclo 1'!H$3:H1000),0)+iferror(averageif('Ciclo 1'!W$3:W1000,G18,'Ciclo 1'!H$3:H1000)+iferror(averageif('Ciclo 2'!V$3:V1000,G18,'Ciclo 2'!H$3:H1000),0)+iferror(averageif('Ciclo 2'!W$3:W1000,G18,'Ciclo 2'!H$3:H1000)+iferror(averageif('Ciclo 3'!V$3:V1000,G18,'Ciclo 3'!H$3:H1000),0)+iferror(averageif('Ciclo 3'!W$3:W1000,G18,'Ciclo 3'!H$3:H1000)+iferror(averageif('Ciclo 4'!V$3:V1000,G18,'Ciclo 4'!H$3:H1000),0)+iferror(averageif('Ciclo 4'!W$3:W1000,G18,'Ciclo 4'!H$3:H1000)+iferror(averageif('Ciclo 5'!V$3:V1000,G18,'Ciclo 5'!H$3:H1000),0)+iferror(averageif('Ciclo 5'!W$3:W1000,G18,'Ciclo 5'!H$3:H1000),0),""),""),""),""))</f>
        <v/>
      </c>
      <c r="K18" s="196" t="str">
        <f t="shared" si="2"/>
        <v/>
      </c>
      <c r="O18" s="189"/>
      <c r="P18" s="188">
        <v>17.0</v>
      </c>
      <c r="Q18" s="199" t="str">
        <f t="shared" si="3"/>
        <v/>
      </c>
      <c r="R18" s="193" t="str">
        <f>IF(P18&lt;=$T$2,R17*(1-Diretrizes!$C$5),)</f>
        <v/>
      </c>
      <c r="S18" s="191" t="str">
        <f t="shared" si="4"/>
        <v/>
      </c>
      <c r="U18" s="189"/>
      <c r="W18" t="s">
        <v>64</v>
      </c>
      <c r="Y18" s="193"/>
      <c r="Z18" s="193"/>
      <c r="AA18" s="189"/>
      <c r="AG18" s="189"/>
    </row>
    <row r="19">
      <c r="A19" s="195"/>
      <c r="B19" s="195" t="str">
        <f>if(A19="","", countif('Ciclo 1'!N:N,$A19)+countif('Ciclo 2'!N:N,$A19)+countif('Ciclo 3'!N:N,$A19)+countif('Ciclo 4'!N:N,$A19)+countif('Ciclo 5'!N:N,$A19))</f>
        <v/>
      </c>
      <c r="C19" s="195" t="str">
        <f>if(A19="",,sumif('Ciclo 1'!$N:$N,$A19,'Ciclo 1'!G:G)+sumif('Ciclo 2'!$N:$N,$A19,'Ciclo 2'!G:G)+sumif('Ciclo 3'!$N:$N,$A19,'Ciclo 3'!G:G)+sumif('Ciclo 4'!$N:$N,$A19,'Ciclo 4'!G:G)+sumif('Ciclo 5'!$N:$N,$A19,'Ciclo 5'!G:G))</f>
        <v/>
      </c>
      <c r="D19" s="196" t="str">
        <f>if(A19="",,iferror((sumif('Ciclo 1'!N:N,A19,'Ciclo 1'!H:H)+sumif('Ciclo 2'!N:N,A19,'Ciclo 2'!H:H)+sumif('Ciclo 3'!N:N,A19,'Ciclo 3'!H:H)+sumif('Ciclo 4'!N:N,A19,'Ciclo 4'!H:H)+sumif('Ciclo 5'!N:N,A19,'Ciclo 5'!H:H))/B19,""))</f>
        <v/>
      </c>
      <c r="E19" s="196" t="str">
        <f t="shared" si="1"/>
        <v/>
      </c>
      <c r="G19" s="195"/>
      <c r="H19" s="195" t="str">
        <f>if(G19="",, sumif('Ciclo 1'!P:P,G19,'Ciclo 1'!R:R)+sumif('Ciclo 2'!P:P,G19,'Ciclo 2'!R:R)+sumif('Ciclo 3'!P:P,G19,'Ciclo 3'!R:R)+sumif('Ciclo 4'!P:P,G19,'Ciclo 4'!R:R)+sumif('Ciclo 5'!P:P,G19,'Ciclo 5'!R:R))</f>
        <v/>
      </c>
      <c r="I19" s="198" t="str">
        <f>if(G19="",, sumif('Ciclo 1'!P:P,G19,'Ciclo 1'!Q:Q)+sumif('Ciclo 2'!P:P,G19,'Ciclo 2'!Q:Q)+sumif('Ciclo 3'!P:P,G19,'Ciclo 3'!Q:Q)+sumif('Ciclo 4'!P:P,G19,'Ciclo 4'!Q:Q)+sumif('Ciclo 5'!P:P,G19,'Ciclo 5'!Q:Q))</f>
        <v/>
      </c>
      <c r="J19" s="196" t="str">
        <f>if(G19="","", iferror(averageif('Ciclo 1'!V$3:V1000,G19,'Ciclo 1'!H$3:H1000),0)+iferror(averageif('Ciclo 1'!W$3:W1000,G19,'Ciclo 1'!H$3:H1000)+iferror(averageif('Ciclo 2'!V$3:V1000,G19,'Ciclo 2'!H$3:H1000),0)+iferror(averageif('Ciclo 2'!W$3:W1000,G19,'Ciclo 2'!H$3:H1000)+iferror(averageif('Ciclo 3'!V$3:V1000,G19,'Ciclo 3'!H$3:H1000),0)+iferror(averageif('Ciclo 3'!W$3:W1000,G19,'Ciclo 3'!H$3:H1000)+iferror(averageif('Ciclo 4'!V$3:V1000,G19,'Ciclo 4'!H$3:H1000),0)+iferror(averageif('Ciclo 4'!W$3:W1000,G19,'Ciclo 4'!H$3:H1000)+iferror(averageif('Ciclo 5'!V$3:V1000,G19,'Ciclo 5'!H$3:H1000),0)+iferror(averageif('Ciclo 5'!W$3:W1000,G19,'Ciclo 5'!H$3:H1000),0),""),""),""),""))</f>
        <v/>
      </c>
      <c r="K19" s="196" t="str">
        <f t="shared" si="2"/>
        <v/>
      </c>
      <c r="O19" s="189"/>
      <c r="P19" s="188">
        <v>18.0</v>
      </c>
      <c r="Q19" s="199" t="str">
        <f t="shared" si="3"/>
        <v/>
      </c>
      <c r="R19" s="193" t="str">
        <f>IF(P19&lt;=$T$2,R18*(1-Diretrizes!$C$5),)</f>
        <v/>
      </c>
      <c r="S19" s="191" t="str">
        <f t="shared" si="4"/>
        <v/>
      </c>
      <c r="U19" s="189"/>
      <c r="W19" t="s">
        <v>64</v>
      </c>
      <c r="Y19" s="193"/>
      <c r="Z19" s="193"/>
      <c r="AA19" s="189"/>
      <c r="AG19" s="189"/>
    </row>
    <row r="20">
      <c r="A20" s="195"/>
      <c r="B20" s="195" t="str">
        <f>if(A20="","", countif('Ciclo 1'!N:N,$A20)+countif('Ciclo 2'!N:N,$A20)+countif('Ciclo 3'!N:N,$A20)+countif('Ciclo 4'!N:N,$A20)+countif('Ciclo 5'!N:N,$A20))</f>
        <v/>
      </c>
      <c r="C20" s="195" t="str">
        <f>if(A20="",,sumif('Ciclo 1'!$N:$N,$A20,'Ciclo 1'!G:G)+sumif('Ciclo 2'!$N:$N,$A20,'Ciclo 2'!G:G)+sumif('Ciclo 3'!$N:$N,$A20,'Ciclo 3'!G:G)+sumif('Ciclo 4'!$N:$N,$A20,'Ciclo 4'!G:G)+sumif('Ciclo 5'!$N:$N,$A20,'Ciclo 5'!G:G))</f>
        <v/>
      </c>
      <c r="D20" s="196" t="str">
        <f>if(A20="",,iferror((sumif('Ciclo 1'!N:N,A20,'Ciclo 1'!H:H)+sumif('Ciclo 2'!N:N,A20,'Ciclo 2'!H:H)+sumif('Ciclo 3'!N:N,A20,'Ciclo 3'!H:H)+sumif('Ciclo 4'!N:N,A20,'Ciclo 4'!H:H)+sumif('Ciclo 5'!N:N,A20,'Ciclo 5'!H:H))/B20,""))</f>
        <v/>
      </c>
      <c r="E20" s="196" t="str">
        <f t="shared" si="1"/>
        <v/>
      </c>
      <c r="G20" s="195"/>
      <c r="H20" s="195" t="str">
        <f>if(G20="",, sumif('Ciclo 1'!P:P,G20,'Ciclo 1'!R:R)+sumif('Ciclo 2'!P:P,G20,'Ciclo 2'!R:R)+sumif('Ciclo 3'!P:P,G20,'Ciclo 3'!R:R)+sumif('Ciclo 4'!P:P,G20,'Ciclo 4'!R:R)+sumif('Ciclo 5'!P:P,G20,'Ciclo 5'!R:R))</f>
        <v/>
      </c>
      <c r="I20" s="198" t="str">
        <f>if(G20="",, sumif('Ciclo 1'!P:P,G20,'Ciclo 1'!Q:Q)+sumif('Ciclo 2'!P:P,G20,'Ciclo 2'!Q:Q)+sumif('Ciclo 3'!P:P,G20,'Ciclo 3'!Q:Q)+sumif('Ciclo 4'!P:P,G20,'Ciclo 4'!Q:Q)+sumif('Ciclo 5'!P:P,G20,'Ciclo 5'!Q:Q))</f>
        <v/>
      </c>
      <c r="J20" s="196" t="str">
        <f>if(G20="","", iferror(averageif('Ciclo 1'!V$3:V1000,G20,'Ciclo 1'!H$3:H1000),0)+iferror(averageif('Ciclo 1'!W$3:W1000,G20,'Ciclo 1'!H$3:H1000)+iferror(averageif('Ciclo 2'!V$3:V1000,G20,'Ciclo 2'!H$3:H1000),0)+iferror(averageif('Ciclo 2'!W$3:W1000,G20,'Ciclo 2'!H$3:H1000)+iferror(averageif('Ciclo 3'!V$3:V1000,G20,'Ciclo 3'!H$3:H1000),0)+iferror(averageif('Ciclo 3'!W$3:W1000,G20,'Ciclo 3'!H$3:H1000)+iferror(averageif('Ciclo 4'!V$3:V1000,G20,'Ciclo 4'!H$3:H1000),0)+iferror(averageif('Ciclo 4'!W$3:W1000,G20,'Ciclo 4'!H$3:H1000)+iferror(averageif('Ciclo 5'!V$3:V1000,G20,'Ciclo 5'!H$3:H1000),0)+iferror(averageif('Ciclo 5'!W$3:W1000,G20,'Ciclo 5'!H$3:H1000),0),""),""),""),""))</f>
        <v/>
      </c>
      <c r="K20" s="196" t="str">
        <f t="shared" si="2"/>
        <v/>
      </c>
      <c r="O20" s="189"/>
      <c r="P20" s="188">
        <v>19.0</v>
      </c>
      <c r="Q20" s="199" t="str">
        <f t="shared" si="3"/>
        <v/>
      </c>
      <c r="R20" s="193" t="str">
        <f>IF(P20&lt;=$T$2,R19*(1-Diretrizes!$C$5),)</f>
        <v/>
      </c>
      <c r="S20" s="191" t="str">
        <f t="shared" si="4"/>
        <v/>
      </c>
      <c r="U20" s="189"/>
      <c r="W20" t="s">
        <v>64</v>
      </c>
      <c r="Y20" s="193"/>
      <c r="Z20" s="193"/>
      <c r="AA20" s="189"/>
      <c r="AG20" s="189"/>
    </row>
    <row r="21">
      <c r="A21" s="195"/>
      <c r="B21" s="195" t="str">
        <f>if(A21="","", countif('Ciclo 1'!N:N,$A21)+countif('Ciclo 2'!N:N,$A21)+countif('Ciclo 3'!N:N,$A21)+countif('Ciclo 4'!N:N,$A21)+countif('Ciclo 5'!N:N,$A21))</f>
        <v/>
      </c>
      <c r="C21" s="195" t="str">
        <f>if(A21="",,sumif('Ciclo 1'!$N:$N,$A21,'Ciclo 1'!G:G)+sumif('Ciclo 2'!$N:$N,$A21,'Ciclo 2'!G:G)+sumif('Ciclo 3'!$N:$N,$A21,'Ciclo 3'!G:G)+sumif('Ciclo 4'!$N:$N,$A21,'Ciclo 4'!G:G)+sumif('Ciclo 5'!$N:$N,$A21,'Ciclo 5'!G:G))</f>
        <v/>
      </c>
      <c r="D21" s="196" t="str">
        <f>if(A21="",,iferror((sumif('Ciclo 1'!N:N,A21,'Ciclo 1'!H:H)+sumif('Ciclo 2'!N:N,A21,'Ciclo 2'!H:H)+sumif('Ciclo 3'!N:N,A21,'Ciclo 3'!H:H)+sumif('Ciclo 4'!N:N,A21,'Ciclo 4'!H:H)+sumif('Ciclo 5'!N:N,A21,'Ciclo 5'!H:H))/B21,""))</f>
        <v/>
      </c>
      <c r="E21" s="196" t="str">
        <f t="shared" si="1"/>
        <v/>
      </c>
      <c r="G21" s="195"/>
      <c r="H21" s="195" t="str">
        <f>if(G21="",, sumif('Ciclo 1'!P:P,G21,'Ciclo 1'!R:R)+sumif('Ciclo 2'!P:P,G21,'Ciclo 2'!R:R)+sumif('Ciclo 3'!P:P,G21,'Ciclo 3'!R:R)+sumif('Ciclo 4'!P:P,G21,'Ciclo 4'!R:R)+sumif('Ciclo 5'!P:P,G21,'Ciclo 5'!R:R))</f>
        <v/>
      </c>
      <c r="I21" s="198" t="str">
        <f>if(G21="",, sumif('Ciclo 1'!P:P,G21,'Ciclo 1'!Q:Q)+sumif('Ciclo 2'!P:P,G21,'Ciclo 2'!Q:Q)+sumif('Ciclo 3'!P:P,G21,'Ciclo 3'!Q:Q)+sumif('Ciclo 4'!P:P,G21,'Ciclo 4'!Q:Q)+sumif('Ciclo 5'!P:P,G21,'Ciclo 5'!Q:Q))</f>
        <v/>
      </c>
      <c r="J21" s="196" t="str">
        <f>if(G21="","", iferror(averageif('Ciclo 1'!V$3:V1000,G21,'Ciclo 1'!H$3:H1000),0)+iferror(averageif('Ciclo 1'!W$3:W1000,G21,'Ciclo 1'!H$3:H1000)+iferror(averageif('Ciclo 2'!V$3:V1000,G21,'Ciclo 2'!H$3:H1000),0)+iferror(averageif('Ciclo 2'!W$3:W1000,G21,'Ciclo 2'!H$3:H1000)+iferror(averageif('Ciclo 3'!V$3:V1000,G21,'Ciclo 3'!H$3:H1000),0)+iferror(averageif('Ciclo 3'!W$3:W1000,G21,'Ciclo 3'!H$3:H1000)+iferror(averageif('Ciclo 4'!V$3:V1000,G21,'Ciclo 4'!H$3:H1000),0)+iferror(averageif('Ciclo 4'!W$3:W1000,G21,'Ciclo 4'!H$3:H1000)+iferror(averageif('Ciclo 5'!V$3:V1000,G21,'Ciclo 5'!H$3:H1000),0)+iferror(averageif('Ciclo 5'!W$3:W1000,G21,'Ciclo 5'!H$3:H1000),0),""),""),""),""))</f>
        <v/>
      </c>
      <c r="K21" s="196" t="str">
        <f t="shared" si="2"/>
        <v/>
      </c>
      <c r="O21" s="189"/>
      <c r="P21" s="188">
        <v>20.0</v>
      </c>
      <c r="Q21" s="199" t="str">
        <f t="shared" si="3"/>
        <v/>
      </c>
      <c r="R21" s="193" t="str">
        <f>IF(P21&lt;=$T$2,R20*(1-Diretrizes!$C$5),)</f>
        <v/>
      </c>
      <c r="S21" s="191" t="str">
        <f t="shared" si="4"/>
        <v/>
      </c>
      <c r="U21" s="189"/>
      <c r="W21" t="s">
        <v>64</v>
      </c>
      <c r="Y21" s="193"/>
      <c r="Z21" s="193"/>
      <c r="AA21" s="189"/>
      <c r="AG21" s="189"/>
    </row>
    <row r="22">
      <c r="A22" s="195"/>
      <c r="B22" s="195" t="str">
        <f>if(A22="","", countif('Ciclo 1'!N:N,$A22)+countif('Ciclo 2'!N:N,$A22)+countif('Ciclo 3'!N:N,$A22)+countif('Ciclo 4'!N:N,$A22)+countif('Ciclo 5'!N:N,$A22))</f>
        <v/>
      </c>
      <c r="C22" s="195" t="str">
        <f>if(A22="",,sumif('Ciclo 1'!$N:$N,$A22,'Ciclo 1'!G:G)+sumif('Ciclo 2'!$N:$N,$A22,'Ciclo 2'!G:G)+sumif('Ciclo 3'!$N:$N,$A22,'Ciclo 3'!G:G)+sumif('Ciclo 4'!$N:$N,$A22,'Ciclo 4'!G:G)+sumif('Ciclo 5'!$N:$N,$A22,'Ciclo 5'!G:G))</f>
        <v/>
      </c>
      <c r="D22" s="196" t="str">
        <f>if(A22="",,iferror((sumif('Ciclo 1'!N:N,A22,'Ciclo 1'!H:H)+sumif('Ciclo 2'!N:N,A22,'Ciclo 2'!H:H)+sumif('Ciclo 3'!N:N,A22,'Ciclo 3'!H:H)+sumif('Ciclo 4'!N:N,A22,'Ciclo 4'!H:H)+sumif('Ciclo 5'!N:N,A22,'Ciclo 5'!H:H))/B22,""))</f>
        <v/>
      </c>
      <c r="E22" s="196" t="str">
        <f t="shared" si="1"/>
        <v/>
      </c>
      <c r="G22" s="195"/>
      <c r="H22" s="195" t="str">
        <f>if(G22="",, sumif('Ciclo 1'!P:P,G22,'Ciclo 1'!R:R)+sumif('Ciclo 2'!P:P,G22,'Ciclo 2'!R:R)+sumif('Ciclo 3'!P:P,G22,'Ciclo 3'!R:R)+sumif('Ciclo 4'!P:P,G22,'Ciclo 4'!R:R)+sumif('Ciclo 5'!P:P,G22,'Ciclo 5'!R:R))</f>
        <v/>
      </c>
      <c r="I22" s="198" t="str">
        <f>if(G22="",, sumif('Ciclo 1'!P:P,G22,'Ciclo 1'!Q:Q)+sumif('Ciclo 2'!P:P,G22,'Ciclo 2'!Q:Q)+sumif('Ciclo 3'!P:P,G22,'Ciclo 3'!Q:Q)+sumif('Ciclo 4'!P:P,G22,'Ciclo 4'!Q:Q)+sumif('Ciclo 5'!P:P,G22,'Ciclo 5'!Q:Q))</f>
        <v/>
      </c>
      <c r="J22" s="196" t="str">
        <f>if(G22="","", iferror(averageif('Ciclo 1'!V$3:V1000,G22,'Ciclo 1'!H$3:H1000),0)+iferror(averageif('Ciclo 1'!W$3:W1000,G22,'Ciclo 1'!H$3:H1000)+iferror(averageif('Ciclo 2'!V$3:V1000,G22,'Ciclo 2'!H$3:H1000),0)+iferror(averageif('Ciclo 2'!W$3:W1000,G22,'Ciclo 2'!H$3:H1000)+iferror(averageif('Ciclo 3'!V$3:V1000,G22,'Ciclo 3'!H$3:H1000),0)+iferror(averageif('Ciclo 3'!W$3:W1000,G22,'Ciclo 3'!H$3:H1000)+iferror(averageif('Ciclo 4'!V$3:V1000,G22,'Ciclo 4'!H$3:H1000),0)+iferror(averageif('Ciclo 4'!W$3:W1000,G22,'Ciclo 4'!H$3:H1000)+iferror(averageif('Ciclo 5'!V$3:V1000,G22,'Ciclo 5'!H$3:H1000),0)+iferror(averageif('Ciclo 5'!W$3:W1000,G22,'Ciclo 5'!H$3:H1000),0),""),""),""),""))</f>
        <v/>
      </c>
      <c r="K22" s="196" t="str">
        <f t="shared" si="2"/>
        <v/>
      </c>
      <c r="O22" s="189"/>
      <c r="P22" s="188">
        <v>21.0</v>
      </c>
      <c r="Q22" s="199" t="str">
        <f t="shared" si="3"/>
        <v/>
      </c>
      <c r="R22" s="193" t="str">
        <f>IF(P22&lt;=$T$2,R21*(1-Diretrizes!$C$5),)</f>
        <v/>
      </c>
      <c r="S22" s="191" t="str">
        <f t="shared" si="4"/>
        <v/>
      </c>
      <c r="U22" s="189"/>
      <c r="W22" t="s">
        <v>64</v>
      </c>
      <c r="Y22" s="193"/>
      <c r="Z22" s="193"/>
      <c r="AA22" s="189"/>
      <c r="AG22" s="189"/>
    </row>
    <row r="23">
      <c r="A23" s="195"/>
      <c r="B23" s="195" t="str">
        <f>if(A23="","", countif('Ciclo 1'!N:N,$A23)+countif('Ciclo 2'!N:N,$A23)+countif('Ciclo 3'!N:N,$A23)+countif('Ciclo 4'!N:N,$A23)+countif('Ciclo 5'!N:N,$A23))</f>
        <v/>
      </c>
      <c r="C23" s="195" t="str">
        <f>if(A23="",,sumif('Ciclo 1'!$N:$N,$A23,'Ciclo 1'!G:G)+sumif('Ciclo 2'!$N:$N,$A23,'Ciclo 2'!G:G)+sumif('Ciclo 3'!$N:$N,$A23,'Ciclo 3'!G:G)+sumif('Ciclo 4'!$N:$N,$A23,'Ciclo 4'!G:G)+sumif('Ciclo 5'!$N:$N,$A23,'Ciclo 5'!G:G))</f>
        <v/>
      </c>
      <c r="D23" s="196" t="str">
        <f>if(A23="",,iferror((sumif('Ciclo 1'!N:N,A23,'Ciclo 1'!H:H)+sumif('Ciclo 2'!N:N,A23,'Ciclo 2'!H:H)+sumif('Ciclo 3'!N:N,A23,'Ciclo 3'!H:H)+sumif('Ciclo 4'!N:N,A23,'Ciclo 4'!H:H)+sumif('Ciclo 5'!N:N,A23,'Ciclo 5'!H:H))/B23,""))</f>
        <v/>
      </c>
      <c r="E23" s="196" t="str">
        <f t="shared" si="1"/>
        <v/>
      </c>
      <c r="G23" s="195"/>
      <c r="H23" s="195" t="str">
        <f>if(G23="",, sumif('Ciclo 1'!P:P,G23,'Ciclo 1'!R:R)+sumif('Ciclo 2'!P:P,G23,'Ciclo 2'!R:R)+sumif('Ciclo 3'!P:P,G23,'Ciclo 3'!R:R)+sumif('Ciclo 4'!P:P,G23,'Ciclo 4'!R:R)+sumif('Ciclo 5'!P:P,G23,'Ciclo 5'!R:R))</f>
        <v/>
      </c>
      <c r="I23" s="198" t="str">
        <f>if(G23="",, sumif('Ciclo 1'!P:P,G23,'Ciclo 1'!Q:Q)+sumif('Ciclo 2'!P:P,G23,'Ciclo 2'!Q:Q)+sumif('Ciclo 3'!P:P,G23,'Ciclo 3'!Q:Q)+sumif('Ciclo 4'!P:P,G23,'Ciclo 4'!Q:Q)+sumif('Ciclo 5'!P:P,G23,'Ciclo 5'!Q:Q))</f>
        <v/>
      </c>
      <c r="J23" s="196" t="str">
        <f>if(G23="","", iferror(averageif('Ciclo 1'!V$3:V1000,G23,'Ciclo 1'!H$3:H1000),0)+iferror(averageif('Ciclo 1'!W$3:W1000,G23,'Ciclo 1'!H$3:H1000)+iferror(averageif('Ciclo 2'!V$3:V1000,G23,'Ciclo 2'!H$3:H1000),0)+iferror(averageif('Ciclo 2'!W$3:W1000,G23,'Ciclo 2'!H$3:H1000)+iferror(averageif('Ciclo 3'!V$3:V1000,G23,'Ciclo 3'!H$3:H1000),0)+iferror(averageif('Ciclo 3'!W$3:W1000,G23,'Ciclo 3'!H$3:H1000)+iferror(averageif('Ciclo 4'!V$3:V1000,G23,'Ciclo 4'!H$3:H1000),0)+iferror(averageif('Ciclo 4'!W$3:W1000,G23,'Ciclo 4'!H$3:H1000)+iferror(averageif('Ciclo 5'!V$3:V1000,G23,'Ciclo 5'!H$3:H1000),0)+iferror(averageif('Ciclo 5'!W$3:W1000,G23,'Ciclo 5'!H$3:H1000),0),""),""),""),""))</f>
        <v/>
      </c>
      <c r="K23" s="196" t="str">
        <f t="shared" si="2"/>
        <v/>
      </c>
      <c r="O23" s="189"/>
      <c r="P23" s="188">
        <v>22.0</v>
      </c>
      <c r="Q23" s="199" t="str">
        <f t="shared" si="3"/>
        <v/>
      </c>
      <c r="R23" s="193" t="str">
        <f>IF(P23&lt;=$T$2,R22*(1-Diretrizes!$C$5),)</f>
        <v/>
      </c>
      <c r="S23" s="191" t="str">
        <f t="shared" si="4"/>
        <v/>
      </c>
      <c r="U23" s="189"/>
      <c r="W23" t="s">
        <v>64</v>
      </c>
      <c r="Y23" s="193"/>
      <c r="Z23" s="193"/>
      <c r="AA23" s="189"/>
      <c r="AG23" s="189"/>
    </row>
    <row r="24">
      <c r="A24" s="195"/>
      <c r="B24" s="195" t="str">
        <f>if(A24="","", countif('Ciclo 1'!N:N,$A24)+countif('Ciclo 2'!N:N,$A24)+countif('Ciclo 3'!N:N,$A24)+countif('Ciclo 4'!N:N,$A24)+countif('Ciclo 5'!N:N,$A24))</f>
        <v/>
      </c>
      <c r="C24" s="195" t="str">
        <f>if(A24="",,sumif('Ciclo 1'!$N:$N,$A24,'Ciclo 1'!G:G)+sumif('Ciclo 2'!$N:$N,$A24,'Ciclo 2'!G:G)+sumif('Ciclo 3'!$N:$N,$A24,'Ciclo 3'!G:G)+sumif('Ciclo 4'!$N:$N,$A24,'Ciclo 4'!G:G)+sumif('Ciclo 5'!$N:$N,$A24,'Ciclo 5'!G:G))</f>
        <v/>
      </c>
      <c r="D24" s="196" t="str">
        <f>if(A24="",,iferror((sumif('Ciclo 1'!N:N,A24,'Ciclo 1'!H:H)+sumif('Ciclo 2'!N:N,A24,'Ciclo 2'!H:H)+sumif('Ciclo 3'!N:N,A24,'Ciclo 3'!H:H)+sumif('Ciclo 4'!N:N,A24,'Ciclo 4'!H:H)+sumif('Ciclo 5'!N:N,A24,'Ciclo 5'!H:H))/B24,""))</f>
        <v/>
      </c>
      <c r="E24" s="196" t="str">
        <f t="shared" si="1"/>
        <v/>
      </c>
      <c r="G24" s="195"/>
      <c r="H24" s="195" t="str">
        <f>if(G24="",, sumif('Ciclo 1'!P:P,G24,'Ciclo 1'!R:R)+sumif('Ciclo 2'!P:P,G24,'Ciclo 2'!R:R)+sumif('Ciclo 3'!P:P,G24,'Ciclo 3'!R:R)+sumif('Ciclo 4'!P:P,G24,'Ciclo 4'!R:R)+sumif('Ciclo 5'!P:P,G24,'Ciclo 5'!R:R))</f>
        <v/>
      </c>
      <c r="I24" s="198" t="str">
        <f>if(G24="",, sumif('Ciclo 1'!P:P,G24,'Ciclo 1'!Q:Q)+sumif('Ciclo 2'!P:P,G24,'Ciclo 2'!Q:Q)+sumif('Ciclo 3'!P:P,G24,'Ciclo 3'!Q:Q)+sumif('Ciclo 4'!P:P,G24,'Ciclo 4'!Q:Q)+sumif('Ciclo 5'!P:P,G24,'Ciclo 5'!Q:Q))</f>
        <v/>
      </c>
      <c r="J24" s="196" t="str">
        <f>if(G24="","", iferror(averageif('Ciclo 1'!V$3:V1000,G24,'Ciclo 1'!H$3:H1000),0)+iferror(averageif('Ciclo 1'!W$3:W1000,G24,'Ciclo 1'!H$3:H1000)+iferror(averageif('Ciclo 2'!V$3:V1000,G24,'Ciclo 2'!H$3:H1000),0)+iferror(averageif('Ciclo 2'!W$3:W1000,G24,'Ciclo 2'!H$3:H1000)+iferror(averageif('Ciclo 3'!V$3:V1000,G24,'Ciclo 3'!H$3:H1000),0)+iferror(averageif('Ciclo 3'!W$3:W1000,G24,'Ciclo 3'!H$3:H1000)+iferror(averageif('Ciclo 4'!V$3:V1000,G24,'Ciclo 4'!H$3:H1000),0)+iferror(averageif('Ciclo 4'!W$3:W1000,G24,'Ciclo 4'!H$3:H1000)+iferror(averageif('Ciclo 5'!V$3:V1000,G24,'Ciclo 5'!H$3:H1000),0)+iferror(averageif('Ciclo 5'!W$3:W1000,G24,'Ciclo 5'!H$3:H1000),0),""),""),""),""))</f>
        <v/>
      </c>
      <c r="K24" s="196" t="str">
        <f t="shared" si="2"/>
        <v/>
      </c>
      <c r="O24" s="189"/>
      <c r="P24" s="188">
        <v>23.0</v>
      </c>
      <c r="Q24" s="199" t="str">
        <f t="shared" si="3"/>
        <v/>
      </c>
      <c r="R24" s="193" t="str">
        <f>IF(P24&lt;=$T$2,R23*(1-Diretrizes!$C$5),)</f>
        <v/>
      </c>
      <c r="S24" s="191" t="str">
        <f t="shared" si="4"/>
        <v/>
      </c>
      <c r="U24" s="189"/>
      <c r="W24" t="s">
        <v>64</v>
      </c>
      <c r="Y24" s="193"/>
      <c r="Z24" s="193"/>
      <c r="AA24" s="189"/>
      <c r="AG24" s="189"/>
    </row>
    <row r="25">
      <c r="A25" s="195"/>
      <c r="B25" s="195" t="str">
        <f>if(A25="","", countif('Ciclo 1'!N:N,$A25)+countif('Ciclo 2'!N:N,$A25)+countif('Ciclo 3'!N:N,$A25)+countif('Ciclo 4'!N:N,$A25)+countif('Ciclo 5'!N:N,$A25))</f>
        <v/>
      </c>
      <c r="C25" s="195" t="str">
        <f>if(A25="",,sumif('Ciclo 1'!$N:$N,$A25,'Ciclo 1'!G:G)+sumif('Ciclo 2'!$N:$N,$A25,'Ciclo 2'!G:G)+sumif('Ciclo 3'!$N:$N,$A25,'Ciclo 3'!G:G)+sumif('Ciclo 4'!$N:$N,$A25,'Ciclo 4'!G:G)+sumif('Ciclo 5'!$N:$N,$A25,'Ciclo 5'!G:G))</f>
        <v/>
      </c>
      <c r="D25" s="196" t="str">
        <f>if(A25="",,iferror((sumif('Ciclo 1'!N:N,A25,'Ciclo 1'!H:H)+sumif('Ciclo 2'!N:N,A25,'Ciclo 2'!H:H)+sumif('Ciclo 3'!N:N,A25,'Ciclo 3'!H:H)+sumif('Ciclo 4'!N:N,A25,'Ciclo 4'!H:H)+sumif('Ciclo 5'!N:N,A25,'Ciclo 5'!H:H))/B25,""))</f>
        <v/>
      </c>
      <c r="E25" s="196" t="str">
        <f t="shared" si="1"/>
        <v/>
      </c>
      <c r="G25" s="195"/>
      <c r="H25" s="195" t="str">
        <f>if(G25="",, sumif('Ciclo 1'!P:P,G25,'Ciclo 1'!R:R)+sumif('Ciclo 2'!P:P,G25,'Ciclo 2'!R:R)+sumif('Ciclo 3'!P:P,G25,'Ciclo 3'!R:R)+sumif('Ciclo 4'!P:P,G25,'Ciclo 4'!R:R)+sumif('Ciclo 5'!P:P,G25,'Ciclo 5'!R:R))</f>
        <v/>
      </c>
      <c r="I25" s="198" t="str">
        <f>if(G25="",, sumif('Ciclo 1'!P:P,G25,'Ciclo 1'!Q:Q)+sumif('Ciclo 2'!P:P,G25,'Ciclo 2'!Q:Q)+sumif('Ciclo 3'!P:P,G25,'Ciclo 3'!Q:Q)+sumif('Ciclo 4'!P:P,G25,'Ciclo 4'!Q:Q)+sumif('Ciclo 5'!P:P,G25,'Ciclo 5'!Q:Q))</f>
        <v/>
      </c>
      <c r="J25" s="196" t="str">
        <f>if(G25="","", iferror(averageif('Ciclo 1'!V$3:V1000,G25,'Ciclo 1'!H$3:H1000),0)+iferror(averageif('Ciclo 1'!W$3:W1000,G25,'Ciclo 1'!H$3:H1000)+iferror(averageif('Ciclo 2'!V$3:V1000,G25,'Ciclo 2'!H$3:H1000),0)+iferror(averageif('Ciclo 2'!W$3:W1000,G25,'Ciclo 2'!H$3:H1000)+iferror(averageif('Ciclo 3'!V$3:V1000,G25,'Ciclo 3'!H$3:H1000),0)+iferror(averageif('Ciclo 3'!W$3:W1000,G25,'Ciclo 3'!H$3:H1000)+iferror(averageif('Ciclo 4'!V$3:V1000,G25,'Ciclo 4'!H$3:H1000),0)+iferror(averageif('Ciclo 4'!W$3:W1000,G25,'Ciclo 4'!H$3:H1000)+iferror(averageif('Ciclo 5'!V$3:V1000,G25,'Ciclo 5'!H$3:H1000),0)+iferror(averageif('Ciclo 5'!W$3:W1000,G25,'Ciclo 5'!H$3:H1000),0),""),""),""),""))</f>
        <v/>
      </c>
      <c r="K25" s="196" t="str">
        <f t="shared" si="2"/>
        <v/>
      </c>
      <c r="O25" s="189"/>
      <c r="P25" s="188">
        <v>24.0</v>
      </c>
      <c r="Q25" s="199" t="str">
        <f t="shared" si="3"/>
        <v/>
      </c>
      <c r="R25" s="193" t="str">
        <f>IF(P25&lt;=$T$2,R24*(1-Diretrizes!$C$5),)</f>
        <v/>
      </c>
      <c r="S25" s="191" t="str">
        <f t="shared" si="4"/>
        <v/>
      </c>
      <c r="U25" s="189"/>
      <c r="W25" t="s">
        <v>64</v>
      </c>
      <c r="Y25" s="193"/>
      <c r="Z25" s="193"/>
      <c r="AA25" s="189"/>
      <c r="AG25" s="189"/>
    </row>
    <row r="26">
      <c r="A26" s="195"/>
      <c r="B26" s="195" t="str">
        <f>if(A26="","", countif('Ciclo 1'!N:N,$A26)+countif('Ciclo 2'!N:N,$A26)+countif('Ciclo 3'!N:N,$A26)+countif('Ciclo 4'!N:N,$A26)+countif('Ciclo 5'!N:N,$A26))</f>
        <v/>
      </c>
      <c r="C26" s="195" t="str">
        <f>if(A26="",,sumif('Ciclo 1'!$N:$N,$A26,'Ciclo 1'!G:G)+sumif('Ciclo 2'!$N:$N,$A26,'Ciclo 2'!G:G)+sumif('Ciclo 3'!$N:$N,$A26,'Ciclo 3'!G:G)+sumif('Ciclo 4'!$N:$N,$A26,'Ciclo 4'!G:G)+sumif('Ciclo 5'!$N:$N,$A26,'Ciclo 5'!G:G))</f>
        <v/>
      </c>
      <c r="D26" s="196" t="str">
        <f>if(A26="",,iferror((sumif('Ciclo 1'!N:N,A26,'Ciclo 1'!H:H)+sumif('Ciclo 2'!N:N,A26,'Ciclo 2'!H:H)+sumif('Ciclo 3'!N:N,A26,'Ciclo 3'!H:H)+sumif('Ciclo 4'!N:N,A26,'Ciclo 4'!H:H)+sumif('Ciclo 5'!N:N,A26,'Ciclo 5'!H:H))/B26,""))</f>
        <v/>
      </c>
      <c r="E26" s="196" t="str">
        <f t="shared" si="1"/>
        <v/>
      </c>
      <c r="G26" s="195"/>
      <c r="H26" s="195" t="str">
        <f>if(G26="",, sumif('Ciclo 1'!P:P,G26,'Ciclo 1'!R:R)+sumif('Ciclo 2'!P:P,G26,'Ciclo 2'!R:R)+sumif('Ciclo 3'!P:P,G26,'Ciclo 3'!R:R)+sumif('Ciclo 4'!P:P,G26,'Ciclo 4'!R:R)+sumif('Ciclo 5'!P:P,G26,'Ciclo 5'!R:R))</f>
        <v/>
      </c>
      <c r="I26" s="198" t="str">
        <f>if(G26="",, sumif('Ciclo 1'!P:P,G26,'Ciclo 1'!Q:Q)+sumif('Ciclo 2'!P:P,G26,'Ciclo 2'!Q:Q)+sumif('Ciclo 3'!P:P,G26,'Ciclo 3'!Q:Q)+sumif('Ciclo 4'!P:P,G26,'Ciclo 4'!Q:Q)+sumif('Ciclo 5'!P:P,G26,'Ciclo 5'!Q:Q))</f>
        <v/>
      </c>
      <c r="J26" s="196" t="str">
        <f>if(G26="","", iferror(averageif('Ciclo 1'!V$3:V1000,G26,'Ciclo 1'!H$3:H1000),0)+iferror(averageif('Ciclo 1'!W$3:W1000,G26,'Ciclo 1'!H$3:H1000)+iferror(averageif('Ciclo 2'!V$3:V1000,G26,'Ciclo 2'!H$3:H1000),0)+iferror(averageif('Ciclo 2'!W$3:W1000,G26,'Ciclo 2'!H$3:H1000)+iferror(averageif('Ciclo 3'!V$3:V1000,G26,'Ciclo 3'!H$3:H1000),0)+iferror(averageif('Ciclo 3'!W$3:W1000,G26,'Ciclo 3'!H$3:H1000)+iferror(averageif('Ciclo 4'!V$3:V1000,G26,'Ciclo 4'!H$3:H1000),0)+iferror(averageif('Ciclo 4'!W$3:W1000,G26,'Ciclo 4'!H$3:H1000)+iferror(averageif('Ciclo 5'!V$3:V1000,G26,'Ciclo 5'!H$3:H1000),0)+iferror(averageif('Ciclo 5'!W$3:W1000,G26,'Ciclo 5'!H$3:H1000),0),""),""),""),""))</f>
        <v/>
      </c>
      <c r="K26" s="196" t="str">
        <f t="shared" si="2"/>
        <v/>
      </c>
      <c r="O26" s="189"/>
      <c r="P26" s="188">
        <v>25.0</v>
      </c>
      <c r="Q26" s="199" t="str">
        <f t="shared" si="3"/>
        <v/>
      </c>
      <c r="R26" s="193" t="str">
        <f>IF(P26&lt;=$T$2,R25*(1-Diretrizes!$C$5),)</f>
        <v/>
      </c>
      <c r="S26" s="191" t="str">
        <f t="shared" si="4"/>
        <v/>
      </c>
      <c r="U26" s="189"/>
      <c r="W26" t="s">
        <v>64</v>
      </c>
      <c r="Y26" s="193"/>
      <c r="Z26" s="193"/>
      <c r="AA26" s="189"/>
      <c r="AG26" s="189"/>
    </row>
    <row r="27">
      <c r="A27" s="195"/>
      <c r="B27" s="195" t="str">
        <f>if(A27="","", countif('Ciclo 1'!N:N,$A27)+countif('Ciclo 2'!N:N,$A27)+countif('Ciclo 3'!N:N,$A27)+countif('Ciclo 4'!N:N,$A27)+countif('Ciclo 5'!N:N,$A27))</f>
        <v/>
      </c>
      <c r="C27" s="195" t="str">
        <f>if(A27="",,sumif('Ciclo 1'!$N:$N,$A27,'Ciclo 1'!G:G)+sumif('Ciclo 2'!$N:$N,$A27,'Ciclo 2'!G:G)+sumif('Ciclo 3'!$N:$N,$A27,'Ciclo 3'!G:G)+sumif('Ciclo 4'!$N:$N,$A27,'Ciclo 4'!G:G)+sumif('Ciclo 5'!$N:$N,$A27,'Ciclo 5'!G:G))</f>
        <v/>
      </c>
      <c r="D27" s="196" t="str">
        <f>if(A27="",,iferror((sumif('Ciclo 1'!N:N,A27,'Ciclo 1'!H:H)+sumif('Ciclo 2'!N:N,A27,'Ciclo 2'!H:H)+sumif('Ciclo 3'!N:N,A27,'Ciclo 3'!H:H)+sumif('Ciclo 4'!N:N,A27,'Ciclo 4'!H:H)+sumif('Ciclo 5'!N:N,A27,'Ciclo 5'!H:H))/B27,""))</f>
        <v/>
      </c>
      <c r="E27" s="196" t="str">
        <f t="shared" si="1"/>
        <v/>
      </c>
      <c r="G27" s="195"/>
      <c r="H27" s="195" t="str">
        <f>if(G27="",, sumif('Ciclo 1'!P:P,G27,'Ciclo 1'!R:R)+sumif('Ciclo 2'!P:P,G27,'Ciclo 2'!R:R)+sumif('Ciclo 3'!P:P,G27,'Ciclo 3'!R:R)+sumif('Ciclo 4'!P:P,G27,'Ciclo 4'!R:R)+sumif('Ciclo 5'!P:P,G27,'Ciclo 5'!R:R))</f>
        <v/>
      </c>
      <c r="I27" s="198" t="str">
        <f>if(G27="",, sumif('Ciclo 1'!P:P,G27,'Ciclo 1'!Q:Q)+sumif('Ciclo 2'!P:P,G27,'Ciclo 2'!Q:Q)+sumif('Ciclo 3'!P:P,G27,'Ciclo 3'!Q:Q)+sumif('Ciclo 4'!P:P,G27,'Ciclo 4'!Q:Q)+sumif('Ciclo 5'!P:P,G27,'Ciclo 5'!Q:Q))</f>
        <v/>
      </c>
      <c r="J27" s="196" t="str">
        <f>if(G27="","", iferror(averageif('Ciclo 1'!V$3:V1000,G27,'Ciclo 1'!H$3:H1000),0)+iferror(averageif('Ciclo 1'!W$3:W1000,G27,'Ciclo 1'!H$3:H1000)+iferror(averageif('Ciclo 2'!V$3:V1000,G27,'Ciclo 2'!H$3:H1000),0)+iferror(averageif('Ciclo 2'!W$3:W1000,G27,'Ciclo 2'!H$3:H1000)+iferror(averageif('Ciclo 3'!V$3:V1000,G27,'Ciclo 3'!H$3:H1000),0)+iferror(averageif('Ciclo 3'!W$3:W1000,G27,'Ciclo 3'!H$3:H1000)+iferror(averageif('Ciclo 4'!V$3:V1000,G27,'Ciclo 4'!H$3:H1000),0)+iferror(averageif('Ciclo 4'!W$3:W1000,G27,'Ciclo 4'!H$3:H1000)+iferror(averageif('Ciclo 5'!V$3:V1000,G27,'Ciclo 5'!H$3:H1000),0)+iferror(averageif('Ciclo 5'!W$3:W1000,G27,'Ciclo 5'!H$3:H1000),0),""),""),""),""))</f>
        <v/>
      </c>
      <c r="K27" s="196" t="str">
        <f t="shared" si="2"/>
        <v/>
      </c>
      <c r="O27" s="189"/>
      <c r="P27" s="188">
        <v>26.0</v>
      </c>
      <c r="Q27" s="199" t="str">
        <f t="shared" si="3"/>
        <v/>
      </c>
      <c r="R27" s="193" t="str">
        <f>IF(P27&lt;=$T$2,R26*(1-Diretrizes!$C$5),)</f>
        <v/>
      </c>
      <c r="S27" s="191" t="str">
        <f t="shared" si="4"/>
        <v/>
      </c>
      <c r="U27" s="189"/>
      <c r="W27" t="s">
        <v>64</v>
      </c>
      <c r="Y27" s="193"/>
      <c r="Z27" s="193"/>
      <c r="AA27" s="189"/>
      <c r="AG27" s="189"/>
    </row>
    <row r="28">
      <c r="A28" s="195"/>
      <c r="B28" s="195" t="str">
        <f>if(A28="","", countif('Ciclo 1'!N:N,$A28)+countif('Ciclo 2'!N:N,$A28)+countif('Ciclo 3'!N:N,$A28)+countif('Ciclo 4'!N:N,$A28)+countif('Ciclo 5'!N:N,$A28))</f>
        <v/>
      </c>
      <c r="C28" s="195" t="str">
        <f>if(A28="",,sumif('Ciclo 1'!$N:$N,$A28,'Ciclo 1'!G:G)+sumif('Ciclo 2'!$N:$N,$A28,'Ciclo 2'!G:G)+sumif('Ciclo 3'!$N:$N,$A28,'Ciclo 3'!G:G)+sumif('Ciclo 4'!$N:$N,$A28,'Ciclo 4'!G:G)+sumif('Ciclo 5'!$N:$N,$A28,'Ciclo 5'!G:G))</f>
        <v/>
      </c>
      <c r="D28" s="196" t="str">
        <f>if(A28="",,iferror((sumif('Ciclo 1'!N:N,A28,'Ciclo 1'!H:H)+sumif('Ciclo 2'!N:N,A28,'Ciclo 2'!H:H)+sumif('Ciclo 3'!N:N,A28,'Ciclo 3'!H:H)+sumif('Ciclo 4'!N:N,A28,'Ciclo 4'!H:H)+sumif('Ciclo 5'!N:N,A28,'Ciclo 5'!H:H))/B28,""))</f>
        <v/>
      </c>
      <c r="E28" s="196" t="str">
        <f t="shared" si="1"/>
        <v/>
      </c>
      <c r="G28" s="195"/>
      <c r="H28" s="195" t="str">
        <f>if(G28="",, sumif('Ciclo 1'!P:P,G28,'Ciclo 1'!R:R)+sumif('Ciclo 2'!P:P,G28,'Ciclo 2'!R:R)+sumif('Ciclo 3'!P:P,G28,'Ciclo 3'!R:R)+sumif('Ciclo 4'!P:P,G28,'Ciclo 4'!R:R)+sumif('Ciclo 5'!P:P,G28,'Ciclo 5'!R:R))</f>
        <v/>
      </c>
      <c r="I28" s="198" t="str">
        <f>if(G28="",, sumif('Ciclo 1'!P:P,G28,'Ciclo 1'!Q:Q)+sumif('Ciclo 2'!P:P,G28,'Ciclo 2'!Q:Q)+sumif('Ciclo 3'!P:P,G28,'Ciclo 3'!Q:Q)+sumif('Ciclo 4'!P:P,G28,'Ciclo 4'!Q:Q)+sumif('Ciclo 5'!P:P,G28,'Ciclo 5'!Q:Q))</f>
        <v/>
      </c>
      <c r="J28" s="196" t="str">
        <f>if(G28="","", iferror(averageif('Ciclo 1'!V$3:V1000,G28,'Ciclo 1'!H$3:H1000),0)+iferror(averageif('Ciclo 1'!W$3:W1000,G28,'Ciclo 1'!H$3:H1000)+iferror(averageif('Ciclo 2'!V$3:V1000,G28,'Ciclo 2'!H$3:H1000),0)+iferror(averageif('Ciclo 2'!W$3:W1000,G28,'Ciclo 2'!H$3:H1000)+iferror(averageif('Ciclo 3'!V$3:V1000,G28,'Ciclo 3'!H$3:H1000),0)+iferror(averageif('Ciclo 3'!W$3:W1000,G28,'Ciclo 3'!H$3:H1000)+iferror(averageif('Ciclo 4'!V$3:V1000,G28,'Ciclo 4'!H$3:H1000),0)+iferror(averageif('Ciclo 4'!W$3:W1000,G28,'Ciclo 4'!H$3:H1000)+iferror(averageif('Ciclo 5'!V$3:V1000,G28,'Ciclo 5'!H$3:H1000),0)+iferror(averageif('Ciclo 5'!W$3:W1000,G28,'Ciclo 5'!H$3:H1000),0),""),""),""),""))</f>
        <v/>
      </c>
      <c r="K28" s="196" t="str">
        <f t="shared" si="2"/>
        <v/>
      </c>
      <c r="O28" s="189"/>
      <c r="P28" s="188">
        <v>27.0</v>
      </c>
      <c r="Q28" s="199" t="str">
        <f t="shared" si="3"/>
        <v/>
      </c>
      <c r="R28" s="193" t="str">
        <f>IF(P28&lt;=$T$2,R27*(1-Diretrizes!$C$5),)</f>
        <v/>
      </c>
      <c r="S28" s="191" t="str">
        <f t="shared" si="4"/>
        <v/>
      </c>
      <c r="U28" s="189"/>
      <c r="W28" t="s">
        <v>64</v>
      </c>
      <c r="Y28" s="193"/>
      <c r="Z28" s="193"/>
      <c r="AA28" s="189"/>
      <c r="AG28" s="189"/>
    </row>
    <row r="29">
      <c r="A29" s="195"/>
      <c r="B29" s="195" t="str">
        <f>if(A29="","", countif('Ciclo 1'!N:N,$A29)+countif('Ciclo 2'!N:N,$A29)+countif('Ciclo 3'!N:N,$A29)+countif('Ciclo 4'!N:N,$A29)+countif('Ciclo 5'!N:N,$A29))</f>
        <v/>
      </c>
      <c r="C29" s="195" t="str">
        <f>if(A29="",,sumif('Ciclo 1'!$N:$N,$A29,'Ciclo 1'!G:G)+sumif('Ciclo 2'!$N:$N,$A29,'Ciclo 2'!G:G)+sumif('Ciclo 3'!$N:$N,$A29,'Ciclo 3'!G:G)+sumif('Ciclo 4'!$N:$N,$A29,'Ciclo 4'!G:G)+sumif('Ciclo 5'!$N:$N,$A29,'Ciclo 5'!G:G))</f>
        <v/>
      </c>
      <c r="D29" s="196" t="str">
        <f>if(A29="",,iferror((sumif('Ciclo 1'!N:N,A29,'Ciclo 1'!H:H)+sumif('Ciclo 2'!N:N,A29,'Ciclo 2'!H:H)+sumif('Ciclo 3'!N:N,A29,'Ciclo 3'!H:H)+sumif('Ciclo 4'!N:N,A29,'Ciclo 4'!H:H)+sumif('Ciclo 5'!N:N,A29,'Ciclo 5'!H:H))/B29,""))</f>
        <v/>
      </c>
      <c r="E29" s="196" t="str">
        <f t="shared" si="1"/>
        <v/>
      </c>
      <c r="G29" s="195"/>
      <c r="H29" s="195" t="str">
        <f>if(G29="",, sumif('Ciclo 1'!P:P,G29,'Ciclo 1'!R:R)+sumif('Ciclo 2'!P:P,G29,'Ciclo 2'!R:R)+sumif('Ciclo 3'!P:P,G29,'Ciclo 3'!R:R)+sumif('Ciclo 4'!P:P,G29,'Ciclo 4'!R:R)+sumif('Ciclo 5'!P:P,G29,'Ciclo 5'!R:R))</f>
        <v/>
      </c>
      <c r="I29" s="198" t="str">
        <f>if(G29="",, sumif('Ciclo 1'!P:P,G29,'Ciclo 1'!Q:Q)+sumif('Ciclo 2'!P:P,G29,'Ciclo 2'!Q:Q)+sumif('Ciclo 3'!P:P,G29,'Ciclo 3'!Q:Q)+sumif('Ciclo 4'!P:P,G29,'Ciclo 4'!Q:Q)+sumif('Ciclo 5'!P:P,G29,'Ciclo 5'!Q:Q))</f>
        <v/>
      </c>
      <c r="J29" s="196" t="str">
        <f>if(G29="","", iferror(averageif('Ciclo 1'!V$3:V1000,G29,'Ciclo 1'!H$3:H1000),0)+iferror(averageif('Ciclo 1'!W$3:W1000,G29,'Ciclo 1'!H$3:H1000)+iferror(averageif('Ciclo 2'!V$3:V1000,G29,'Ciclo 2'!H$3:H1000),0)+iferror(averageif('Ciclo 2'!W$3:W1000,G29,'Ciclo 2'!H$3:H1000)+iferror(averageif('Ciclo 3'!V$3:V1000,G29,'Ciclo 3'!H$3:H1000),0)+iferror(averageif('Ciclo 3'!W$3:W1000,G29,'Ciclo 3'!H$3:H1000)+iferror(averageif('Ciclo 4'!V$3:V1000,G29,'Ciclo 4'!H$3:H1000),0)+iferror(averageif('Ciclo 4'!W$3:W1000,G29,'Ciclo 4'!H$3:H1000)+iferror(averageif('Ciclo 5'!V$3:V1000,G29,'Ciclo 5'!H$3:H1000),0)+iferror(averageif('Ciclo 5'!W$3:W1000,G29,'Ciclo 5'!H$3:H1000),0),""),""),""),""))</f>
        <v/>
      </c>
      <c r="K29" s="196" t="str">
        <f t="shared" si="2"/>
        <v/>
      </c>
      <c r="O29" s="189"/>
      <c r="P29" s="188">
        <v>28.0</v>
      </c>
      <c r="Q29" s="199" t="str">
        <f t="shared" si="3"/>
        <v/>
      </c>
      <c r="R29" s="193" t="str">
        <f>IF(P29&lt;=$T$2,R28*(1-Diretrizes!$C$5),)</f>
        <v/>
      </c>
      <c r="S29" s="191" t="str">
        <f t="shared" si="4"/>
        <v/>
      </c>
      <c r="U29" s="189"/>
      <c r="W29" t="s">
        <v>64</v>
      </c>
      <c r="Y29" s="193"/>
      <c r="Z29" s="193"/>
      <c r="AA29" s="189"/>
      <c r="AG29" s="189"/>
    </row>
    <row r="30">
      <c r="A30" s="195"/>
      <c r="B30" s="195" t="str">
        <f>if(A30="","", countif('Ciclo 1'!N:N,$A30)+countif('Ciclo 2'!N:N,$A30)+countif('Ciclo 3'!N:N,$A30)+countif('Ciclo 4'!N:N,$A30)+countif('Ciclo 5'!N:N,$A30))</f>
        <v/>
      </c>
      <c r="C30" s="195" t="str">
        <f>if(A30="",,sumif('Ciclo 1'!$N:$N,$A30,'Ciclo 1'!G:G)+sumif('Ciclo 2'!$N:$N,$A30,'Ciclo 2'!G:G)+sumif('Ciclo 3'!$N:$N,$A30,'Ciclo 3'!G:G)+sumif('Ciclo 4'!$N:$N,$A30,'Ciclo 4'!G:G)+sumif('Ciclo 5'!$N:$N,$A30,'Ciclo 5'!G:G))</f>
        <v/>
      </c>
      <c r="D30" s="196" t="str">
        <f>if(A30="",,iferror((sumif('Ciclo 1'!N:N,A30,'Ciclo 1'!H:H)+sumif('Ciclo 2'!N:N,A30,'Ciclo 2'!H:H)+sumif('Ciclo 3'!N:N,A30,'Ciclo 3'!H:H)+sumif('Ciclo 4'!N:N,A30,'Ciclo 4'!H:H)+sumif('Ciclo 5'!N:N,A30,'Ciclo 5'!H:H))/B30,""))</f>
        <v/>
      </c>
      <c r="E30" s="196" t="str">
        <f t="shared" si="1"/>
        <v/>
      </c>
      <c r="G30" s="195"/>
      <c r="H30" s="195" t="str">
        <f>if(G30="",, sumif('Ciclo 1'!P:P,G30,'Ciclo 1'!R:R)+sumif('Ciclo 2'!P:P,G30,'Ciclo 2'!R:R)+sumif('Ciclo 3'!P:P,G30,'Ciclo 3'!R:R)+sumif('Ciclo 4'!P:P,G30,'Ciclo 4'!R:R)+sumif('Ciclo 5'!P:P,G30,'Ciclo 5'!R:R))</f>
        <v/>
      </c>
      <c r="I30" s="198" t="str">
        <f>if(G30="",, sumif('Ciclo 1'!P:P,G30,'Ciclo 1'!Q:Q)+sumif('Ciclo 2'!P:P,G30,'Ciclo 2'!Q:Q)+sumif('Ciclo 3'!P:P,G30,'Ciclo 3'!Q:Q)+sumif('Ciclo 4'!P:P,G30,'Ciclo 4'!Q:Q)+sumif('Ciclo 5'!P:P,G30,'Ciclo 5'!Q:Q))</f>
        <v/>
      </c>
      <c r="J30" s="196" t="str">
        <f>if(G30="","", iferror(averageif('Ciclo 1'!V$3:V1000,G30,'Ciclo 1'!H$3:H1000),0)+iferror(averageif('Ciclo 1'!W$3:W1000,G30,'Ciclo 1'!H$3:H1000)+iferror(averageif('Ciclo 2'!V$3:V1000,G30,'Ciclo 2'!H$3:H1000),0)+iferror(averageif('Ciclo 2'!W$3:W1000,G30,'Ciclo 2'!H$3:H1000)+iferror(averageif('Ciclo 3'!V$3:V1000,G30,'Ciclo 3'!H$3:H1000),0)+iferror(averageif('Ciclo 3'!W$3:W1000,G30,'Ciclo 3'!H$3:H1000)+iferror(averageif('Ciclo 4'!V$3:V1000,G30,'Ciclo 4'!H$3:H1000),0)+iferror(averageif('Ciclo 4'!W$3:W1000,G30,'Ciclo 4'!H$3:H1000)+iferror(averageif('Ciclo 5'!V$3:V1000,G30,'Ciclo 5'!H$3:H1000),0)+iferror(averageif('Ciclo 5'!W$3:W1000,G30,'Ciclo 5'!H$3:H1000),0),""),""),""),""))</f>
        <v/>
      </c>
      <c r="K30" s="196" t="str">
        <f t="shared" si="2"/>
        <v/>
      </c>
      <c r="O30" s="189"/>
      <c r="P30" s="188">
        <v>29.0</v>
      </c>
      <c r="Q30" s="199" t="str">
        <f t="shared" si="3"/>
        <v/>
      </c>
      <c r="R30" s="193" t="str">
        <f>IF(P30&lt;=$T$2,R29*(1-Diretrizes!$C$5),)</f>
        <v/>
      </c>
      <c r="S30" s="191" t="str">
        <f t="shared" si="4"/>
        <v/>
      </c>
      <c r="U30" s="189"/>
      <c r="W30" t="s">
        <v>64</v>
      </c>
      <c r="Y30" s="193"/>
      <c r="Z30" s="193"/>
      <c r="AA30" s="189"/>
      <c r="AG30" s="189"/>
    </row>
    <row r="31">
      <c r="A31" s="195"/>
      <c r="B31" s="195" t="str">
        <f>if(A31="","", countif('Ciclo 1'!N:N,$A31)+countif('Ciclo 2'!N:N,$A31)+countif('Ciclo 3'!N:N,$A31)+countif('Ciclo 4'!N:N,$A31)+countif('Ciclo 5'!N:N,$A31))</f>
        <v/>
      </c>
      <c r="C31" s="195" t="str">
        <f>if(A31="",,sumif('Ciclo 1'!$N:$N,$A31,'Ciclo 1'!G:G)+sumif('Ciclo 2'!$N:$N,$A31,'Ciclo 2'!G:G)+sumif('Ciclo 3'!$N:$N,$A31,'Ciclo 3'!G:G)+sumif('Ciclo 4'!$N:$N,$A31,'Ciclo 4'!G:G)+sumif('Ciclo 5'!$N:$N,$A31,'Ciclo 5'!G:G))</f>
        <v/>
      </c>
      <c r="D31" s="196" t="str">
        <f>if(A31="",,iferror((sumif('Ciclo 1'!N:N,A31,'Ciclo 1'!H:H)+sumif('Ciclo 2'!N:N,A31,'Ciclo 2'!H:H)+sumif('Ciclo 3'!N:N,A31,'Ciclo 3'!H:H)+sumif('Ciclo 4'!N:N,A31,'Ciclo 4'!H:H)+sumif('Ciclo 5'!N:N,A31,'Ciclo 5'!H:H))/B31,""))</f>
        <v/>
      </c>
      <c r="E31" s="196" t="str">
        <f t="shared" si="1"/>
        <v/>
      </c>
      <c r="G31" s="195"/>
      <c r="H31" s="195" t="str">
        <f>if(G31="",, sumif('Ciclo 1'!P:P,G31,'Ciclo 1'!R:R)+sumif('Ciclo 2'!P:P,G31,'Ciclo 2'!R:R)+sumif('Ciclo 3'!P:P,G31,'Ciclo 3'!R:R)+sumif('Ciclo 4'!P:P,G31,'Ciclo 4'!R:R)+sumif('Ciclo 5'!P:P,G31,'Ciclo 5'!R:R))</f>
        <v/>
      </c>
      <c r="I31" s="198" t="str">
        <f>if(G31="",, sumif('Ciclo 1'!P:P,G31,'Ciclo 1'!Q:Q)+sumif('Ciclo 2'!P:P,G31,'Ciclo 2'!Q:Q)+sumif('Ciclo 3'!P:P,G31,'Ciclo 3'!Q:Q)+sumif('Ciclo 4'!P:P,G31,'Ciclo 4'!Q:Q)+sumif('Ciclo 5'!P:P,G31,'Ciclo 5'!Q:Q))</f>
        <v/>
      </c>
      <c r="J31" s="196" t="str">
        <f>if(G31="","", iferror(averageif('Ciclo 1'!V$3:V1000,G31,'Ciclo 1'!H$3:H1000),0)+iferror(averageif('Ciclo 1'!W$3:W1000,G31,'Ciclo 1'!H$3:H1000)+iferror(averageif('Ciclo 2'!V$3:V1000,G31,'Ciclo 2'!H$3:H1000),0)+iferror(averageif('Ciclo 2'!W$3:W1000,G31,'Ciclo 2'!H$3:H1000)+iferror(averageif('Ciclo 3'!V$3:V1000,G31,'Ciclo 3'!H$3:H1000),0)+iferror(averageif('Ciclo 3'!W$3:W1000,G31,'Ciclo 3'!H$3:H1000)+iferror(averageif('Ciclo 4'!V$3:V1000,G31,'Ciclo 4'!H$3:H1000),0)+iferror(averageif('Ciclo 4'!W$3:W1000,G31,'Ciclo 4'!H$3:H1000)+iferror(averageif('Ciclo 5'!V$3:V1000,G31,'Ciclo 5'!H$3:H1000),0)+iferror(averageif('Ciclo 5'!W$3:W1000,G31,'Ciclo 5'!H$3:H1000),0),""),""),""),""))</f>
        <v/>
      </c>
      <c r="K31" s="196" t="str">
        <f t="shared" si="2"/>
        <v/>
      </c>
      <c r="O31" s="189"/>
      <c r="P31" s="188">
        <v>30.0</v>
      </c>
      <c r="Q31" s="199" t="str">
        <f t="shared" si="3"/>
        <v/>
      </c>
      <c r="R31" s="193" t="str">
        <f>IF(P31&lt;=$T$2,R30*(1-Diretrizes!$C$5),)</f>
        <v/>
      </c>
      <c r="S31" s="191" t="str">
        <f t="shared" si="4"/>
        <v/>
      </c>
      <c r="U31" s="189"/>
      <c r="W31" t="s">
        <v>64</v>
      </c>
      <c r="Y31" s="193"/>
      <c r="Z31" s="193"/>
      <c r="AA31" s="189"/>
      <c r="AG31" s="189"/>
    </row>
    <row r="32">
      <c r="A32" s="195"/>
      <c r="B32" s="195" t="str">
        <f>if(A32="","", countif('Ciclo 1'!N:N,$A32)+countif('Ciclo 2'!N:N,$A32)+countif('Ciclo 3'!N:N,$A32)+countif('Ciclo 4'!N:N,$A32)+countif('Ciclo 5'!N:N,$A32))</f>
        <v/>
      </c>
      <c r="C32" s="195" t="str">
        <f>if(A32="",,sumif('Ciclo 1'!$N:$N,$A32,'Ciclo 1'!G:G)+sumif('Ciclo 2'!$N:$N,$A32,'Ciclo 2'!G:G)+sumif('Ciclo 3'!$N:$N,$A32,'Ciclo 3'!G:G)+sumif('Ciclo 4'!$N:$N,$A32,'Ciclo 4'!G:G)+sumif('Ciclo 5'!$N:$N,$A32,'Ciclo 5'!G:G))</f>
        <v/>
      </c>
      <c r="D32" s="196" t="str">
        <f>if(A32="",,iferror((sumif('Ciclo 1'!N:N,A32,'Ciclo 1'!H:H)+sumif('Ciclo 2'!N:N,A32,'Ciclo 2'!H:H)+sumif('Ciclo 3'!N:N,A32,'Ciclo 3'!H:H)+sumif('Ciclo 4'!N:N,A32,'Ciclo 4'!H:H)+sumif('Ciclo 5'!N:N,A32,'Ciclo 5'!H:H))/B32,""))</f>
        <v/>
      </c>
      <c r="E32" s="196" t="str">
        <f t="shared" si="1"/>
        <v/>
      </c>
      <c r="G32" s="195"/>
      <c r="H32" s="195" t="str">
        <f>if(G32="",, sumif('Ciclo 1'!P:P,G32,'Ciclo 1'!R:R)+sumif('Ciclo 2'!P:P,G32,'Ciclo 2'!R:R)+sumif('Ciclo 3'!P:P,G32,'Ciclo 3'!R:R)+sumif('Ciclo 4'!P:P,G32,'Ciclo 4'!R:R)+sumif('Ciclo 5'!P:P,G32,'Ciclo 5'!R:R))</f>
        <v/>
      </c>
      <c r="I32" s="198" t="str">
        <f>if(G32="",, sumif('Ciclo 1'!P:P,G32,'Ciclo 1'!Q:Q)+sumif('Ciclo 2'!P:P,G32,'Ciclo 2'!Q:Q)+sumif('Ciclo 3'!P:P,G32,'Ciclo 3'!Q:Q)+sumif('Ciclo 4'!P:P,G32,'Ciclo 4'!Q:Q)+sumif('Ciclo 5'!P:P,G32,'Ciclo 5'!Q:Q))</f>
        <v/>
      </c>
      <c r="J32" s="196" t="str">
        <f>if(G32="","", iferror(averageif('Ciclo 1'!V$3:V1000,G32,'Ciclo 1'!H$3:H1000),0)+iferror(averageif('Ciclo 1'!W$3:W1000,G32,'Ciclo 1'!H$3:H1000)+iferror(averageif('Ciclo 2'!V$3:V1000,G32,'Ciclo 2'!H$3:H1000),0)+iferror(averageif('Ciclo 2'!W$3:W1000,G32,'Ciclo 2'!H$3:H1000)+iferror(averageif('Ciclo 3'!V$3:V1000,G32,'Ciclo 3'!H$3:H1000),0)+iferror(averageif('Ciclo 3'!W$3:W1000,G32,'Ciclo 3'!H$3:H1000)+iferror(averageif('Ciclo 4'!V$3:V1000,G32,'Ciclo 4'!H$3:H1000),0)+iferror(averageif('Ciclo 4'!W$3:W1000,G32,'Ciclo 4'!H$3:H1000)+iferror(averageif('Ciclo 5'!V$3:V1000,G32,'Ciclo 5'!H$3:H1000),0)+iferror(averageif('Ciclo 5'!W$3:W1000,G32,'Ciclo 5'!H$3:H1000),0),""),""),""),""))</f>
        <v/>
      </c>
      <c r="K32" s="196" t="str">
        <f t="shared" si="2"/>
        <v/>
      </c>
      <c r="O32" s="189"/>
      <c r="U32" s="189"/>
      <c r="W32" t="s">
        <v>64</v>
      </c>
      <c r="Y32" s="193"/>
      <c r="Z32" s="193"/>
      <c r="AA32" s="189"/>
      <c r="AG32" s="189"/>
    </row>
    <row r="33">
      <c r="A33" s="195"/>
      <c r="B33" s="195" t="str">
        <f>if(A33="","", countif('Ciclo 1'!N:N,$A33)+countif('Ciclo 2'!N:N,$A33)+countif('Ciclo 3'!N:N,$A33)+countif('Ciclo 4'!N:N,$A33)+countif('Ciclo 5'!N:N,$A33))</f>
        <v/>
      </c>
      <c r="C33" s="195" t="str">
        <f>if(A33="",,sumif('Ciclo 1'!$N:$N,$A33,'Ciclo 1'!G:G)+sumif('Ciclo 2'!$N:$N,$A33,'Ciclo 2'!G:G)+sumif('Ciclo 3'!$N:$N,$A33,'Ciclo 3'!G:G)+sumif('Ciclo 4'!$N:$N,$A33,'Ciclo 4'!G:G)+sumif('Ciclo 5'!$N:$N,$A33,'Ciclo 5'!G:G))</f>
        <v/>
      </c>
      <c r="D33" s="196" t="str">
        <f>if(A33="",,iferror((sumif('Ciclo 1'!N:N,A33,'Ciclo 1'!H:H)+sumif('Ciclo 2'!N:N,A33,'Ciclo 2'!H:H)+sumif('Ciclo 3'!N:N,A33,'Ciclo 3'!H:H)+sumif('Ciclo 4'!N:N,A33,'Ciclo 4'!H:H)+sumif('Ciclo 5'!N:N,A33,'Ciclo 5'!H:H))/B33,""))</f>
        <v/>
      </c>
      <c r="E33" s="196" t="str">
        <f t="shared" si="1"/>
        <v/>
      </c>
      <c r="G33" s="195"/>
      <c r="H33" s="195" t="str">
        <f>if(G33="",, sumif('Ciclo 1'!P:P,G33,'Ciclo 1'!R:R)+sumif('Ciclo 2'!P:P,G33,'Ciclo 2'!R:R)+sumif('Ciclo 3'!P:P,G33,'Ciclo 3'!R:R)+sumif('Ciclo 4'!P:P,G33,'Ciclo 4'!R:R)+sumif('Ciclo 5'!P:P,G33,'Ciclo 5'!R:R))</f>
        <v/>
      </c>
      <c r="I33" s="198" t="str">
        <f>if(G33="",, sumif('Ciclo 1'!P:P,G33,'Ciclo 1'!Q:Q)+sumif('Ciclo 2'!P:P,G33,'Ciclo 2'!Q:Q)+sumif('Ciclo 3'!P:P,G33,'Ciclo 3'!Q:Q)+sumif('Ciclo 4'!P:P,G33,'Ciclo 4'!Q:Q)+sumif('Ciclo 5'!P:P,G33,'Ciclo 5'!Q:Q))</f>
        <v/>
      </c>
      <c r="J33" s="196" t="str">
        <f>if(G33="","", iferror(averageif('Ciclo 1'!V$3:V1000,G33,'Ciclo 1'!H$3:H1000),0)+iferror(averageif('Ciclo 1'!W$3:W1000,G33,'Ciclo 1'!H$3:H1000)+iferror(averageif('Ciclo 2'!V$3:V1000,G33,'Ciclo 2'!H$3:H1000),0)+iferror(averageif('Ciclo 2'!W$3:W1000,G33,'Ciclo 2'!H$3:H1000)+iferror(averageif('Ciclo 3'!V$3:V1000,G33,'Ciclo 3'!H$3:H1000),0)+iferror(averageif('Ciclo 3'!W$3:W1000,G33,'Ciclo 3'!H$3:H1000)+iferror(averageif('Ciclo 4'!V$3:V1000,G33,'Ciclo 4'!H$3:H1000),0)+iferror(averageif('Ciclo 4'!W$3:W1000,G33,'Ciclo 4'!H$3:H1000)+iferror(averageif('Ciclo 5'!V$3:V1000,G33,'Ciclo 5'!H$3:H1000),0)+iferror(averageif('Ciclo 5'!W$3:W1000,G33,'Ciclo 5'!H$3:H1000),0),""),""),""),""))</f>
        <v/>
      </c>
      <c r="K33" s="196" t="str">
        <f t="shared" si="2"/>
        <v/>
      </c>
      <c r="W33" t="s">
        <v>64</v>
      </c>
      <c r="Y33" s="193"/>
      <c r="Z33" s="193"/>
    </row>
    <row r="34">
      <c r="A34" s="195"/>
      <c r="B34" s="195" t="str">
        <f>if(A34="","", countif('Ciclo 1'!N:N,$A34)+countif('Ciclo 2'!N:N,$A34)+countif('Ciclo 3'!N:N,$A34)+countif('Ciclo 4'!N:N,$A34)+countif('Ciclo 5'!N:N,$A34))</f>
        <v/>
      </c>
      <c r="C34" s="195" t="str">
        <f>if(A34="",,sumif('Ciclo 1'!$N:$N,$A34,'Ciclo 1'!G:G)+sumif('Ciclo 2'!$N:$N,$A34,'Ciclo 2'!G:G)+sumif('Ciclo 3'!$N:$N,$A34,'Ciclo 3'!G:G)+sumif('Ciclo 4'!$N:$N,$A34,'Ciclo 4'!G:G)+sumif('Ciclo 5'!$N:$N,$A34,'Ciclo 5'!G:G))</f>
        <v/>
      </c>
      <c r="D34" s="196" t="str">
        <f>if(A34="",,iferror((sumif('Ciclo 1'!N:N,A34,'Ciclo 1'!H:H)+sumif('Ciclo 2'!N:N,A34,'Ciclo 2'!H:H)+sumif('Ciclo 3'!N:N,A34,'Ciclo 3'!H:H)+sumif('Ciclo 4'!N:N,A34,'Ciclo 4'!H:H)+sumif('Ciclo 5'!N:N,A34,'Ciclo 5'!H:H))/B34,""))</f>
        <v/>
      </c>
      <c r="E34" s="196" t="str">
        <f t="shared" si="1"/>
        <v/>
      </c>
      <c r="G34" s="195"/>
      <c r="H34" s="195" t="str">
        <f>if(G34="",, sumif('Ciclo 1'!P:P,G34,'Ciclo 1'!R:R)+sumif('Ciclo 2'!P:P,G34,'Ciclo 2'!R:R)+sumif('Ciclo 3'!P:P,G34,'Ciclo 3'!R:R)+sumif('Ciclo 4'!P:P,G34,'Ciclo 4'!R:R)+sumif('Ciclo 5'!P:P,G34,'Ciclo 5'!R:R))</f>
        <v/>
      </c>
      <c r="I34" s="198" t="str">
        <f>if(G34="",, sumif('Ciclo 1'!P:P,G34,'Ciclo 1'!Q:Q)+sumif('Ciclo 2'!P:P,G34,'Ciclo 2'!Q:Q)+sumif('Ciclo 3'!P:P,G34,'Ciclo 3'!Q:Q)+sumif('Ciclo 4'!P:P,G34,'Ciclo 4'!Q:Q)+sumif('Ciclo 5'!P:P,G34,'Ciclo 5'!Q:Q))</f>
        <v/>
      </c>
      <c r="J34" s="196" t="str">
        <f>if(G34="","", iferror(averageif('Ciclo 1'!V$3:V1000,G34,'Ciclo 1'!H$3:H1000),0)+iferror(averageif('Ciclo 1'!W$3:W1000,G34,'Ciclo 1'!H$3:H1000)+iferror(averageif('Ciclo 2'!V$3:V1000,G34,'Ciclo 2'!H$3:H1000),0)+iferror(averageif('Ciclo 2'!W$3:W1000,G34,'Ciclo 2'!H$3:H1000)+iferror(averageif('Ciclo 3'!V$3:V1000,G34,'Ciclo 3'!H$3:H1000),0)+iferror(averageif('Ciclo 3'!W$3:W1000,G34,'Ciclo 3'!H$3:H1000)+iferror(averageif('Ciclo 4'!V$3:V1000,G34,'Ciclo 4'!H$3:H1000),0)+iferror(averageif('Ciclo 4'!W$3:W1000,G34,'Ciclo 4'!H$3:H1000)+iferror(averageif('Ciclo 5'!V$3:V1000,G34,'Ciclo 5'!H$3:H1000),0)+iferror(averageif('Ciclo 5'!W$3:W1000,G34,'Ciclo 5'!H$3:H1000),0),""),""),""),""))</f>
        <v/>
      </c>
      <c r="K34" s="196" t="str">
        <f t="shared" si="2"/>
        <v/>
      </c>
      <c r="W34" t="s">
        <v>64</v>
      </c>
      <c r="Y34" s="193"/>
      <c r="Z34" s="193"/>
    </row>
    <row r="35">
      <c r="A35" s="195"/>
      <c r="B35" s="195" t="str">
        <f>if(A35="","", countif('Ciclo 1'!N:N,$A35)+countif('Ciclo 2'!N:N,$A35)+countif('Ciclo 3'!N:N,$A35)+countif('Ciclo 4'!N:N,$A35)+countif('Ciclo 5'!N:N,$A35))</f>
        <v/>
      </c>
      <c r="C35" s="195" t="str">
        <f>if(A35="",,sumif('Ciclo 1'!$N:$N,$A35,'Ciclo 1'!G:G)+sumif('Ciclo 2'!$N:$N,$A35,'Ciclo 2'!G:G)+sumif('Ciclo 3'!$N:$N,$A35,'Ciclo 3'!G:G)+sumif('Ciclo 4'!$N:$N,$A35,'Ciclo 4'!G:G)+sumif('Ciclo 5'!$N:$N,$A35,'Ciclo 5'!G:G))</f>
        <v/>
      </c>
      <c r="D35" s="196" t="str">
        <f>if(A35="",,iferror((sumif('Ciclo 1'!N:N,A35,'Ciclo 1'!H:H)+sumif('Ciclo 2'!N:N,A35,'Ciclo 2'!H:H)+sumif('Ciclo 3'!N:N,A35,'Ciclo 3'!H:H)+sumif('Ciclo 4'!N:N,A35,'Ciclo 4'!H:H)+sumif('Ciclo 5'!N:N,A35,'Ciclo 5'!H:H))/B35,""))</f>
        <v/>
      </c>
      <c r="E35" s="196" t="str">
        <f t="shared" si="1"/>
        <v/>
      </c>
      <c r="G35" s="195"/>
      <c r="H35" s="195" t="str">
        <f>if(G35="",, sumif('Ciclo 1'!P:P,G35,'Ciclo 1'!R:R)+sumif('Ciclo 2'!P:P,G35,'Ciclo 2'!R:R)+sumif('Ciclo 3'!P:P,G35,'Ciclo 3'!R:R)+sumif('Ciclo 4'!P:P,G35,'Ciclo 4'!R:R)+sumif('Ciclo 5'!P:P,G35,'Ciclo 5'!R:R))</f>
        <v/>
      </c>
      <c r="I35" s="198" t="str">
        <f>if(G35="",, sumif('Ciclo 1'!P:P,G35,'Ciclo 1'!Q:Q)+sumif('Ciclo 2'!P:P,G35,'Ciclo 2'!Q:Q)+sumif('Ciclo 3'!P:P,G35,'Ciclo 3'!Q:Q)+sumif('Ciclo 4'!P:P,G35,'Ciclo 4'!Q:Q)+sumif('Ciclo 5'!P:P,G35,'Ciclo 5'!Q:Q))</f>
        <v/>
      </c>
      <c r="J35" s="196" t="str">
        <f>if(G35="","", iferror(averageif('Ciclo 1'!V$3:V1000,G35,'Ciclo 1'!H$3:H1000),0)+iferror(averageif('Ciclo 1'!W$3:W1000,G35,'Ciclo 1'!H$3:H1000)+iferror(averageif('Ciclo 2'!V$3:V1000,G35,'Ciclo 2'!H$3:H1000),0)+iferror(averageif('Ciclo 2'!W$3:W1000,G35,'Ciclo 2'!H$3:H1000)+iferror(averageif('Ciclo 3'!V$3:V1000,G35,'Ciclo 3'!H$3:H1000),0)+iferror(averageif('Ciclo 3'!W$3:W1000,G35,'Ciclo 3'!H$3:H1000)+iferror(averageif('Ciclo 4'!V$3:V1000,G35,'Ciclo 4'!H$3:H1000),0)+iferror(averageif('Ciclo 4'!W$3:W1000,G35,'Ciclo 4'!H$3:H1000)+iferror(averageif('Ciclo 5'!V$3:V1000,G35,'Ciclo 5'!H$3:H1000),0)+iferror(averageif('Ciclo 5'!W$3:W1000,G35,'Ciclo 5'!H$3:H1000),0),""),""),""),""))</f>
        <v/>
      </c>
      <c r="K35" s="196" t="str">
        <f t="shared" si="2"/>
        <v/>
      </c>
      <c r="Y35" s="193"/>
      <c r="Z35" s="193"/>
    </row>
    <row r="36">
      <c r="A36" s="195"/>
      <c r="B36" s="195"/>
      <c r="C36" s="195"/>
      <c r="D36" s="196" t="str">
        <f>if(A36="",,iferror((sumif('Ciclo 1'!N:N,A36,'Ciclo 1'!H:H)+sumif('Ciclo 2'!N:N,A36,'Ciclo 2'!H:H)+sumif('Ciclo 3'!N:N,A36,'Ciclo 3'!H:H)+sumif('Ciclo 4'!N:N,A36,'Ciclo 4'!H:H)+sumif('Ciclo 5'!N:N,A36,'Ciclo 5'!H:H))/B36,""))</f>
        <v/>
      </c>
      <c r="E36" s="196" t="str">
        <f t="shared" si="1"/>
        <v/>
      </c>
      <c r="G36" s="195"/>
      <c r="H36" s="195" t="str">
        <f>if(G36="",, sumif('Ciclo 1'!P:P,G36,'Ciclo 1'!R:R)+sumif('Ciclo 2'!P:P,G36,'Ciclo 2'!R:R)+sumif('Ciclo 3'!P:P,G36,'Ciclo 3'!R:R)+sumif('Ciclo 4'!P:P,G36,'Ciclo 4'!R:R)+sumif('Ciclo 5'!P:P,G36,'Ciclo 5'!R:R))</f>
        <v/>
      </c>
      <c r="I36" s="198" t="str">
        <f>if(G36="",, sumif('Ciclo 1'!P:P,G36,'Ciclo 1'!Q:Q)+sumif('Ciclo 2'!P:P,G36,'Ciclo 2'!Q:Q)+sumif('Ciclo 3'!P:P,G36,'Ciclo 3'!Q:Q)+sumif('Ciclo 4'!P:P,G36,'Ciclo 4'!Q:Q)+sumif('Ciclo 5'!P:P,G36,'Ciclo 5'!Q:Q))</f>
        <v/>
      </c>
      <c r="J36" s="196" t="str">
        <f>if(G36="","", iferror(averageif('Ciclo 1'!V$3:V1000,G36,'Ciclo 1'!H$3:H1000),0)+iferror(averageif('Ciclo 1'!W$3:W1000,G36,'Ciclo 1'!H$3:H1000)+iferror(averageif('Ciclo 2'!V$3:V1000,G36,'Ciclo 2'!H$3:H1000),0)+iferror(averageif('Ciclo 2'!W$3:W1000,G36,'Ciclo 2'!H$3:H1000)+iferror(averageif('Ciclo 3'!V$3:V1000,G36,'Ciclo 3'!H$3:H1000),0)+iferror(averageif('Ciclo 3'!W$3:W1000,G36,'Ciclo 3'!H$3:H1000)+iferror(averageif('Ciclo 4'!V$3:V1000,G36,'Ciclo 4'!H$3:H1000),0)+iferror(averageif('Ciclo 4'!W$3:W1000,G36,'Ciclo 4'!H$3:H1000)+iferror(averageif('Ciclo 5'!V$3:V1000,G36,'Ciclo 5'!H$3:H1000),0)+iferror(averageif('Ciclo 5'!W$3:W1000,G36,'Ciclo 5'!H$3:H1000),0),""),""),""),""))</f>
        <v/>
      </c>
      <c r="K36" s="196" t="str">
        <f t="shared" si="2"/>
        <v/>
      </c>
      <c r="Y36" s="193"/>
      <c r="Z36" s="193"/>
    </row>
    <row r="37">
      <c r="A37" s="195"/>
      <c r="B37" s="195"/>
      <c r="C37" s="195"/>
      <c r="D37" s="196" t="str">
        <f>if(A37="",,iferror((sumif('Ciclo 1'!N:N,A37,'Ciclo 1'!H:H)+sumif('Ciclo 2'!N:N,A37,'Ciclo 2'!H:H)+sumif('Ciclo 3'!N:N,A37,'Ciclo 3'!H:H)+sumif('Ciclo 4'!N:N,A37,'Ciclo 4'!H:H)+sumif('Ciclo 5'!N:N,A37,'Ciclo 5'!H:H))/B37,""))</f>
        <v/>
      </c>
      <c r="E37" s="196" t="str">
        <f t="shared" si="1"/>
        <v/>
      </c>
      <c r="G37" s="195"/>
      <c r="H37" s="195" t="str">
        <f>if(G37="",, sumif('Ciclo 1'!P:P,G37,'Ciclo 1'!R:R)+sumif('Ciclo 2'!P:P,G37,'Ciclo 2'!R:R)+sumif('Ciclo 3'!P:P,G37,'Ciclo 3'!R:R)+sumif('Ciclo 4'!P:P,G37,'Ciclo 4'!R:R)+sumif('Ciclo 5'!P:P,G37,'Ciclo 5'!R:R))</f>
        <v/>
      </c>
      <c r="I37" s="198" t="str">
        <f>if(G37="",, sumif('Ciclo 1'!P:P,G37,'Ciclo 1'!Q:Q)+sumif('Ciclo 2'!P:P,G37,'Ciclo 2'!Q:Q)+sumif('Ciclo 3'!P:P,G37,'Ciclo 3'!Q:Q)+sumif('Ciclo 4'!P:P,G37,'Ciclo 4'!Q:Q)+sumif('Ciclo 5'!P:P,G37,'Ciclo 5'!Q:Q))</f>
        <v/>
      </c>
      <c r="J37" s="196" t="str">
        <f>if(G37="","", iferror(averageif('Ciclo 1'!V$3:V1000,G37,'Ciclo 1'!H$3:H1000),0)+iferror(averageif('Ciclo 1'!W$3:W1000,G37,'Ciclo 1'!H$3:H1000)+iferror(averageif('Ciclo 2'!V$3:V1000,G37,'Ciclo 2'!H$3:H1000),0)+iferror(averageif('Ciclo 2'!W$3:W1000,G37,'Ciclo 2'!H$3:H1000)+iferror(averageif('Ciclo 3'!V$3:V1000,G37,'Ciclo 3'!H$3:H1000),0)+iferror(averageif('Ciclo 3'!W$3:W1000,G37,'Ciclo 3'!H$3:H1000)+iferror(averageif('Ciclo 4'!V$3:V1000,G37,'Ciclo 4'!H$3:H1000),0)+iferror(averageif('Ciclo 4'!W$3:W1000,G37,'Ciclo 4'!H$3:H1000)+iferror(averageif('Ciclo 5'!V$3:V1000,G37,'Ciclo 5'!H$3:H1000),0)+iferror(averageif('Ciclo 5'!W$3:W1000,G37,'Ciclo 5'!H$3:H1000),0),""),""),""),""))</f>
        <v/>
      </c>
      <c r="K37" s="196" t="str">
        <f t="shared" si="2"/>
        <v/>
      </c>
      <c r="Y37" s="193"/>
      <c r="Z37" s="193"/>
    </row>
    <row r="38">
      <c r="A38" s="195"/>
      <c r="B38" s="195"/>
      <c r="C38" s="195"/>
      <c r="D38" s="196" t="str">
        <f>if(A38="",,iferror((sumif('Ciclo 1'!N:N,A38,'Ciclo 1'!H:H)+sumif('Ciclo 2'!N:N,A38,'Ciclo 2'!H:H)+sumif('Ciclo 3'!N:N,A38,'Ciclo 3'!H:H)+sumif('Ciclo 4'!N:N,A38,'Ciclo 4'!H:H)+sumif('Ciclo 5'!N:N,A38,'Ciclo 5'!H:H))/B38,""))</f>
        <v/>
      </c>
      <c r="E38" s="196" t="str">
        <f t="shared" si="1"/>
        <v/>
      </c>
      <c r="G38" s="195"/>
      <c r="H38" s="195" t="str">
        <f>if(G38="",, sumif('Ciclo 1'!P:P,G38,'Ciclo 1'!R:R)+sumif('Ciclo 2'!P:P,G38,'Ciclo 2'!R:R)+sumif('Ciclo 3'!P:P,G38,'Ciclo 3'!R:R)+sumif('Ciclo 4'!P:P,G38,'Ciclo 4'!R:R)+sumif('Ciclo 5'!P:P,G38,'Ciclo 5'!R:R))</f>
        <v/>
      </c>
      <c r="I38" s="198" t="str">
        <f>if(G38="",, sumif('Ciclo 1'!P:P,G38,'Ciclo 1'!Q:Q)+sumif('Ciclo 2'!P:P,G38,'Ciclo 2'!Q:Q)+sumif('Ciclo 3'!P:P,G38,'Ciclo 3'!Q:Q)+sumif('Ciclo 4'!P:P,G38,'Ciclo 4'!Q:Q)+sumif('Ciclo 5'!P:P,G38,'Ciclo 5'!Q:Q))</f>
        <v/>
      </c>
      <c r="J38" s="196" t="str">
        <f>if(G38="","", iferror(averageif('Ciclo 1'!V$3:V1000,G38,'Ciclo 1'!H$3:H1000),0)+iferror(averageif('Ciclo 1'!W$3:W1000,G38,'Ciclo 1'!H$3:H1000)+iferror(averageif('Ciclo 2'!V$3:V1000,G38,'Ciclo 2'!H$3:H1000),0)+iferror(averageif('Ciclo 2'!W$3:W1000,G38,'Ciclo 2'!H$3:H1000)+iferror(averageif('Ciclo 3'!V$3:V1000,G38,'Ciclo 3'!H$3:H1000),0)+iferror(averageif('Ciclo 3'!W$3:W1000,G38,'Ciclo 3'!H$3:H1000)+iferror(averageif('Ciclo 4'!V$3:V1000,G38,'Ciclo 4'!H$3:H1000),0)+iferror(averageif('Ciclo 4'!W$3:W1000,G38,'Ciclo 4'!H$3:H1000)+iferror(averageif('Ciclo 5'!V$3:V1000,G38,'Ciclo 5'!H$3:H1000),0)+iferror(averageif('Ciclo 5'!W$3:W1000,G38,'Ciclo 5'!H$3:H1000),0),""),""),""),""))</f>
        <v/>
      </c>
      <c r="K38" s="196" t="str">
        <f t="shared" si="2"/>
        <v/>
      </c>
      <c r="Y38" s="193"/>
      <c r="Z38" s="193"/>
    </row>
    <row r="39">
      <c r="A39" s="195"/>
      <c r="B39" s="195"/>
      <c r="C39" s="195"/>
      <c r="D39" s="196" t="str">
        <f>if(A39="",,iferror((sumif('Ciclo 1'!N:N,A39,'Ciclo 1'!H:H)+sumif('Ciclo 2'!N:N,A39,'Ciclo 2'!H:H)+sumif('Ciclo 3'!N:N,A39,'Ciclo 3'!H:H)+sumif('Ciclo 4'!N:N,A39,'Ciclo 4'!H:H)+sumif('Ciclo 5'!N:N,A39,'Ciclo 5'!H:H))/B39,""))</f>
        <v/>
      </c>
      <c r="E39" s="196" t="str">
        <f t="shared" si="1"/>
        <v/>
      </c>
      <c r="G39" s="195"/>
      <c r="H39" s="195" t="str">
        <f>if(G39="",, sumif('Ciclo 1'!P:P,G39,'Ciclo 1'!R:R)+sumif('Ciclo 2'!P:P,G39,'Ciclo 2'!R:R)+sumif('Ciclo 3'!P:P,G39,'Ciclo 3'!R:R)+sumif('Ciclo 4'!P:P,G39,'Ciclo 4'!R:R)+sumif('Ciclo 5'!P:P,G39,'Ciclo 5'!R:R))</f>
        <v/>
      </c>
      <c r="I39" s="198" t="str">
        <f>if(G39="",, sumif('Ciclo 1'!P:P,G39,'Ciclo 1'!Q:Q)+sumif('Ciclo 2'!P:P,G39,'Ciclo 2'!Q:Q)+sumif('Ciclo 3'!P:P,G39,'Ciclo 3'!Q:Q)+sumif('Ciclo 4'!P:P,G39,'Ciclo 4'!Q:Q)+sumif('Ciclo 5'!P:P,G39,'Ciclo 5'!Q:Q))</f>
        <v/>
      </c>
      <c r="J39" s="196" t="str">
        <f>if(G39="","", iferror(averageif('Ciclo 1'!V$3:V1000,G39,'Ciclo 1'!H$3:H1000),0)+iferror(averageif('Ciclo 1'!W$3:W1000,G39,'Ciclo 1'!H$3:H1000)+iferror(averageif('Ciclo 2'!V$3:V1000,G39,'Ciclo 2'!H$3:H1000),0)+iferror(averageif('Ciclo 2'!W$3:W1000,G39,'Ciclo 2'!H$3:H1000)+iferror(averageif('Ciclo 3'!V$3:V1000,G39,'Ciclo 3'!H$3:H1000),0)+iferror(averageif('Ciclo 3'!W$3:W1000,G39,'Ciclo 3'!H$3:H1000)+iferror(averageif('Ciclo 4'!V$3:V1000,G39,'Ciclo 4'!H$3:H1000),0)+iferror(averageif('Ciclo 4'!W$3:W1000,G39,'Ciclo 4'!H$3:H1000)+iferror(averageif('Ciclo 5'!V$3:V1000,G39,'Ciclo 5'!H$3:H1000),0)+iferror(averageif('Ciclo 5'!W$3:W1000,G39,'Ciclo 5'!H$3:H1000),0),""),""),""),""))</f>
        <v/>
      </c>
      <c r="K39" s="196" t="str">
        <f t="shared" si="2"/>
        <v/>
      </c>
      <c r="Z39" s="193"/>
    </row>
    <row r="40">
      <c r="A40" s="195"/>
      <c r="B40" s="195"/>
      <c r="C40" s="195"/>
      <c r="D40" s="195"/>
      <c r="E40" s="196" t="str">
        <f t="shared" si="1"/>
        <v/>
      </c>
      <c r="G40" s="195"/>
      <c r="H40" s="195" t="str">
        <f>if(G40="",, sumif('Ciclo 1'!P:P,G40,'Ciclo 1'!R:R)+sumif('Ciclo 2'!P:P,G40,'Ciclo 2'!R:R)+sumif('Ciclo 3'!P:P,G40,'Ciclo 3'!R:R)+sumif('Ciclo 4'!P:P,G40,'Ciclo 4'!R:R)+sumif('Ciclo 5'!P:P,G40,'Ciclo 5'!R:R))</f>
        <v/>
      </c>
      <c r="I40" s="198" t="str">
        <f>if(G40="",, sumif('Ciclo 1'!P:P,G40,'Ciclo 1'!Q:Q)+sumif('Ciclo 2'!P:P,G40,'Ciclo 2'!Q:Q)+sumif('Ciclo 3'!P:P,G40,'Ciclo 3'!Q:Q)+sumif('Ciclo 4'!P:P,G40,'Ciclo 4'!Q:Q)+sumif('Ciclo 5'!P:P,G40,'Ciclo 5'!Q:Q))</f>
        <v/>
      </c>
      <c r="J40" s="196" t="str">
        <f>if(G40="","", iferror(averageif('Ciclo 1'!V$3:V1000,G40,'Ciclo 1'!H$3:H1000),0)+iferror(averageif('Ciclo 1'!W$3:W1000,G40,'Ciclo 1'!H$3:H1000)+iferror(averageif('Ciclo 2'!V$3:V1000,G40,'Ciclo 2'!H$3:H1000),0)+iferror(averageif('Ciclo 2'!W$3:W1000,G40,'Ciclo 2'!H$3:H1000)+iferror(averageif('Ciclo 3'!V$3:V1000,G40,'Ciclo 3'!H$3:H1000),0)+iferror(averageif('Ciclo 3'!W$3:W1000,G40,'Ciclo 3'!H$3:H1000)+iferror(averageif('Ciclo 4'!V$3:V1000,G40,'Ciclo 4'!H$3:H1000),0)+iferror(averageif('Ciclo 4'!W$3:W1000,G40,'Ciclo 4'!H$3:H1000)+iferror(averageif('Ciclo 5'!V$3:V1000,G40,'Ciclo 5'!H$3:H1000),0)+iferror(averageif('Ciclo 5'!W$3:W1000,G40,'Ciclo 5'!H$3:H1000),0),""),""),""),""))</f>
        <v/>
      </c>
      <c r="K40" s="196" t="str">
        <f t="shared" si="2"/>
        <v/>
      </c>
    </row>
    <row r="41">
      <c r="A41" s="195"/>
      <c r="B41" s="195"/>
      <c r="C41" s="195"/>
      <c r="D41" s="195"/>
      <c r="E41" s="196" t="str">
        <f t="shared" si="1"/>
        <v/>
      </c>
      <c r="G41" s="195"/>
      <c r="H41" s="195" t="str">
        <f>if(G41="",, sumif('Ciclo 1'!P:P,G41,'Ciclo 1'!R:R)+sumif('Ciclo 2'!P:P,G41,'Ciclo 2'!R:R)+sumif('Ciclo 3'!P:P,G41,'Ciclo 3'!R:R)+sumif('Ciclo 4'!P:P,G41,'Ciclo 4'!R:R)+sumif('Ciclo 5'!P:P,G41,'Ciclo 5'!R:R))</f>
        <v/>
      </c>
      <c r="I41" s="198" t="str">
        <f>if(G41="",, sumif('Ciclo 1'!P:P,G41,'Ciclo 1'!Q:Q)+sumif('Ciclo 2'!P:P,G41,'Ciclo 2'!Q:Q)+sumif('Ciclo 3'!P:P,G41,'Ciclo 3'!Q:Q)+sumif('Ciclo 4'!P:P,G41,'Ciclo 4'!Q:Q)+sumif('Ciclo 5'!P:P,G41,'Ciclo 5'!Q:Q))</f>
        <v/>
      </c>
      <c r="J41" s="196" t="str">
        <f>if(G41="","", iferror(averageif('Ciclo 1'!V$3:V1000,G41,'Ciclo 1'!H$3:H1000),0)+iferror(averageif('Ciclo 1'!W$3:W1000,G41,'Ciclo 1'!H$3:H1000)+iferror(averageif('Ciclo 2'!V$3:V1000,G41,'Ciclo 2'!H$3:H1000),0)+iferror(averageif('Ciclo 2'!W$3:W1000,G41,'Ciclo 2'!H$3:H1000)+iferror(averageif('Ciclo 3'!V$3:V1000,G41,'Ciclo 3'!H$3:H1000),0)+iferror(averageif('Ciclo 3'!W$3:W1000,G41,'Ciclo 3'!H$3:H1000)+iferror(averageif('Ciclo 4'!V$3:V1000,G41,'Ciclo 4'!H$3:H1000),0)+iferror(averageif('Ciclo 4'!W$3:W1000,G41,'Ciclo 4'!H$3:H1000)+iferror(averageif('Ciclo 5'!V$3:V1000,G41,'Ciclo 5'!H$3:H1000),0)+iferror(averageif('Ciclo 5'!W$3:W1000,G41,'Ciclo 5'!H$3:H1000),0),""),""),""),""))</f>
        <v/>
      </c>
      <c r="K41" s="196" t="str">
        <f t="shared" si="2"/>
        <v/>
      </c>
    </row>
    <row r="42">
      <c r="A42" s="195"/>
      <c r="B42" s="195"/>
      <c r="C42" s="195"/>
      <c r="D42" s="195"/>
      <c r="E42" s="196" t="str">
        <f t="shared" si="1"/>
        <v/>
      </c>
      <c r="G42" s="195"/>
      <c r="H42" s="195" t="str">
        <f>if(G42="",, sumif('Ciclo 1'!P:P,G42,'Ciclo 1'!R:R)+sumif('Ciclo 2'!P:P,G42,'Ciclo 2'!R:R)+sumif('Ciclo 3'!P:P,G42,'Ciclo 3'!R:R)+sumif('Ciclo 4'!P:P,G42,'Ciclo 4'!R:R)+sumif('Ciclo 5'!P:P,G42,'Ciclo 5'!R:R))</f>
        <v/>
      </c>
      <c r="I42" s="198" t="str">
        <f>if(G42="",, sumif('Ciclo 1'!P:P,G42,'Ciclo 1'!Q:Q)+sumif('Ciclo 2'!P:P,G42,'Ciclo 2'!Q:Q)+sumif('Ciclo 3'!P:P,G42,'Ciclo 3'!Q:Q)+sumif('Ciclo 4'!P:P,G42,'Ciclo 4'!Q:Q)+sumif('Ciclo 5'!P:P,G42,'Ciclo 5'!Q:Q))</f>
        <v/>
      </c>
      <c r="J42" s="196" t="str">
        <f>if(G42="","", iferror(averageif('Ciclo 1'!V$3:V1000,G42,'Ciclo 1'!H$3:H1000),0)+iferror(averageif('Ciclo 1'!W$3:W1000,G42,'Ciclo 1'!H$3:H1000)+iferror(averageif('Ciclo 2'!V$3:V1000,G42,'Ciclo 2'!H$3:H1000),0)+iferror(averageif('Ciclo 2'!W$3:W1000,G42,'Ciclo 2'!H$3:H1000)+iferror(averageif('Ciclo 3'!V$3:V1000,G42,'Ciclo 3'!H$3:H1000),0)+iferror(averageif('Ciclo 3'!W$3:W1000,G42,'Ciclo 3'!H$3:H1000)+iferror(averageif('Ciclo 4'!V$3:V1000,G42,'Ciclo 4'!H$3:H1000),0)+iferror(averageif('Ciclo 4'!W$3:W1000,G42,'Ciclo 4'!H$3:H1000)+iferror(averageif('Ciclo 5'!V$3:V1000,G42,'Ciclo 5'!H$3:H1000),0)+iferror(averageif('Ciclo 5'!W$3:W1000,G42,'Ciclo 5'!H$3:H1000),0),""),""),""),""))</f>
        <v/>
      </c>
      <c r="K42" s="196" t="str">
        <f t="shared" si="2"/>
        <v/>
      </c>
    </row>
    <row r="43">
      <c r="A43" s="195"/>
      <c r="B43" s="195"/>
      <c r="C43" s="195"/>
      <c r="D43" s="195"/>
      <c r="E43" s="196" t="str">
        <f t="shared" si="1"/>
        <v/>
      </c>
      <c r="G43" s="195"/>
      <c r="H43" s="195" t="str">
        <f>if(G43="",, sumif('Ciclo 1'!P:P,G43,'Ciclo 1'!R:R)+sumif('Ciclo 2'!P:P,G43,'Ciclo 2'!R:R)+sumif('Ciclo 3'!P:P,G43,'Ciclo 3'!R:R)+sumif('Ciclo 4'!P:P,G43,'Ciclo 4'!R:R)+sumif('Ciclo 5'!P:P,G43,'Ciclo 5'!R:R))</f>
        <v/>
      </c>
      <c r="I43" s="198" t="str">
        <f>if(G43="",, sumif('Ciclo 1'!P:P,G43,'Ciclo 1'!Q:Q)+sumif('Ciclo 2'!P:P,G43,'Ciclo 2'!Q:Q)+sumif('Ciclo 3'!P:P,G43,'Ciclo 3'!Q:Q)+sumif('Ciclo 4'!P:P,G43,'Ciclo 4'!Q:Q)+sumif('Ciclo 5'!P:P,G43,'Ciclo 5'!Q:Q))</f>
        <v/>
      </c>
      <c r="J43" s="196" t="str">
        <f>if(G43="","", iferror(averageif('Ciclo 1'!V$3:V1000,G43,'Ciclo 1'!H$3:H1000),0)+iferror(averageif('Ciclo 1'!W$3:W1000,G43,'Ciclo 1'!H$3:H1000)+iferror(averageif('Ciclo 2'!V$3:V1000,G43,'Ciclo 2'!H$3:H1000),0)+iferror(averageif('Ciclo 2'!W$3:W1000,G43,'Ciclo 2'!H$3:H1000)+iferror(averageif('Ciclo 3'!V$3:V1000,G43,'Ciclo 3'!H$3:H1000),0)+iferror(averageif('Ciclo 3'!W$3:W1000,G43,'Ciclo 3'!H$3:H1000)+iferror(averageif('Ciclo 4'!V$3:V1000,G43,'Ciclo 4'!H$3:H1000),0)+iferror(averageif('Ciclo 4'!W$3:W1000,G43,'Ciclo 4'!H$3:H1000)+iferror(averageif('Ciclo 5'!V$3:V1000,G43,'Ciclo 5'!H$3:H1000),0)+iferror(averageif('Ciclo 5'!W$3:W1000,G43,'Ciclo 5'!H$3:H1000),0),""),""),""),""))</f>
        <v/>
      </c>
      <c r="K43" s="196" t="str">
        <f t="shared" si="2"/>
        <v/>
      </c>
    </row>
    <row r="44">
      <c r="A44" s="195"/>
      <c r="B44" s="195"/>
      <c r="C44" s="195"/>
      <c r="D44" s="195"/>
      <c r="E44" s="196" t="str">
        <f t="shared" si="1"/>
        <v/>
      </c>
      <c r="G44" s="195"/>
      <c r="H44" s="195" t="str">
        <f>if(G44="",, sumif('Ciclo 1'!P:P,G44,'Ciclo 1'!R:R)+sumif('Ciclo 2'!P:P,G44,'Ciclo 2'!R:R)+sumif('Ciclo 3'!P:P,G44,'Ciclo 3'!R:R)+sumif('Ciclo 4'!P:P,G44,'Ciclo 4'!R:R)+sumif('Ciclo 5'!P:P,G44,'Ciclo 5'!R:R))</f>
        <v/>
      </c>
      <c r="I44" s="198" t="str">
        <f>if(G44="",, sumif('Ciclo 1'!P:P,G44,'Ciclo 1'!Q:Q)+sumif('Ciclo 2'!P:P,G44,'Ciclo 2'!Q:Q)+sumif('Ciclo 3'!P:P,G44,'Ciclo 3'!Q:Q)+sumif('Ciclo 4'!P:P,G44,'Ciclo 4'!Q:Q)+sumif('Ciclo 5'!P:P,G44,'Ciclo 5'!Q:Q))</f>
        <v/>
      </c>
      <c r="J44" s="196" t="str">
        <f>if(G44="","", iferror(averageif('Ciclo 1'!V$3:V1000,G44,'Ciclo 1'!H$3:H1000),0)+iferror(averageif('Ciclo 1'!W$3:W1000,G44,'Ciclo 1'!H$3:H1000)+iferror(averageif('Ciclo 2'!V$3:V1000,G44,'Ciclo 2'!H$3:H1000),0)+iferror(averageif('Ciclo 2'!W$3:W1000,G44,'Ciclo 2'!H$3:H1000)+iferror(averageif('Ciclo 3'!V$3:V1000,G44,'Ciclo 3'!H$3:H1000),0)+iferror(averageif('Ciclo 3'!W$3:W1000,G44,'Ciclo 3'!H$3:H1000)+iferror(averageif('Ciclo 4'!V$3:V1000,G44,'Ciclo 4'!H$3:H1000),0)+iferror(averageif('Ciclo 4'!W$3:W1000,G44,'Ciclo 4'!H$3:H1000)+iferror(averageif('Ciclo 5'!V$3:V1000,G44,'Ciclo 5'!H$3:H1000),0)+iferror(averageif('Ciclo 5'!W$3:W1000,G44,'Ciclo 5'!H$3:H1000),0),""),""),""),""))</f>
        <v/>
      </c>
      <c r="K44" s="196" t="str">
        <f t="shared" si="2"/>
        <v/>
      </c>
    </row>
    <row r="45">
      <c r="A45" s="195"/>
      <c r="B45" s="195"/>
      <c r="C45" s="195"/>
      <c r="D45" s="195"/>
      <c r="E45" s="196" t="str">
        <f t="shared" si="1"/>
        <v/>
      </c>
      <c r="G45" s="195"/>
      <c r="H45" s="195" t="str">
        <f>if(G45="",, sumif('Ciclo 1'!P:P,G45,'Ciclo 1'!R:R)+sumif('Ciclo 2'!P:P,G45,'Ciclo 2'!R:R)+sumif('Ciclo 3'!P:P,G45,'Ciclo 3'!R:R)+sumif('Ciclo 4'!P:P,G45,'Ciclo 4'!R:R)+sumif('Ciclo 5'!P:P,G45,'Ciclo 5'!R:R))</f>
        <v/>
      </c>
      <c r="I45" s="198" t="str">
        <f>if(G45="",, sumif('Ciclo 1'!P:P,G45,'Ciclo 1'!Q:Q)+sumif('Ciclo 2'!P:P,G45,'Ciclo 2'!Q:Q)+sumif('Ciclo 3'!P:P,G45,'Ciclo 3'!Q:Q)+sumif('Ciclo 4'!P:P,G45,'Ciclo 4'!Q:Q)+sumif('Ciclo 5'!P:P,G45,'Ciclo 5'!Q:Q))</f>
        <v/>
      </c>
      <c r="J45" s="196" t="str">
        <f>if(G45="","", iferror(averageif('Ciclo 1'!V$3:V1000,G45,'Ciclo 1'!H$3:H1000),0)+iferror(averageif('Ciclo 1'!W$3:W1000,G45,'Ciclo 1'!H$3:H1000)+iferror(averageif('Ciclo 2'!V$3:V1000,G45,'Ciclo 2'!H$3:H1000),0)+iferror(averageif('Ciclo 2'!W$3:W1000,G45,'Ciclo 2'!H$3:H1000)+iferror(averageif('Ciclo 3'!V$3:V1000,G45,'Ciclo 3'!H$3:H1000),0)+iferror(averageif('Ciclo 3'!W$3:W1000,G45,'Ciclo 3'!H$3:H1000)+iferror(averageif('Ciclo 4'!V$3:V1000,G45,'Ciclo 4'!H$3:H1000),0)+iferror(averageif('Ciclo 4'!W$3:W1000,G45,'Ciclo 4'!H$3:H1000)+iferror(averageif('Ciclo 5'!V$3:V1000,G45,'Ciclo 5'!H$3:H1000),0)+iferror(averageif('Ciclo 5'!W$3:W1000,G45,'Ciclo 5'!H$3:H1000),0),""),""),""),""))</f>
        <v/>
      </c>
      <c r="K45" s="196" t="str">
        <f t="shared" si="2"/>
        <v/>
      </c>
    </row>
    <row r="46">
      <c r="A46" s="195"/>
      <c r="B46" s="195"/>
      <c r="C46" s="195"/>
      <c r="D46" s="195"/>
      <c r="E46" s="196" t="str">
        <f t="shared" si="1"/>
        <v/>
      </c>
      <c r="G46" s="195"/>
      <c r="H46" s="195" t="str">
        <f>if(G46="",, sumif('Ciclo 1'!P:P,G46,'Ciclo 1'!R:R)+sumif('Ciclo 2'!P:P,G46,'Ciclo 2'!R:R)+sumif('Ciclo 3'!P:P,G46,'Ciclo 3'!R:R)+sumif('Ciclo 4'!P:P,G46,'Ciclo 4'!R:R)+sumif('Ciclo 5'!P:P,G46,'Ciclo 5'!R:R))</f>
        <v/>
      </c>
      <c r="I46" s="198" t="str">
        <f>if(G46="",, sumif('Ciclo 1'!P:P,G46,'Ciclo 1'!Q:Q)+sumif('Ciclo 2'!P:P,G46,'Ciclo 2'!Q:Q)+sumif('Ciclo 3'!P:P,G46,'Ciclo 3'!Q:Q)+sumif('Ciclo 4'!P:P,G46,'Ciclo 4'!Q:Q)+sumif('Ciclo 5'!P:P,G46,'Ciclo 5'!Q:Q))</f>
        <v/>
      </c>
      <c r="J46" s="196" t="str">
        <f>if(G46="","", iferror(averageif('Ciclo 1'!V$3:V1000,G46,'Ciclo 1'!H$3:H1000),0)+iferror(averageif('Ciclo 1'!W$3:W1000,G46,'Ciclo 1'!H$3:H1000)+iferror(averageif('Ciclo 2'!V$3:V1000,G46,'Ciclo 2'!H$3:H1000),0)+iferror(averageif('Ciclo 2'!W$3:W1000,G46,'Ciclo 2'!H$3:H1000)+iferror(averageif('Ciclo 3'!V$3:V1000,G46,'Ciclo 3'!H$3:H1000),0)+iferror(averageif('Ciclo 3'!W$3:W1000,G46,'Ciclo 3'!H$3:H1000)+iferror(averageif('Ciclo 4'!V$3:V1000,G46,'Ciclo 4'!H$3:H1000),0)+iferror(averageif('Ciclo 4'!W$3:W1000,G46,'Ciclo 4'!H$3:H1000)+iferror(averageif('Ciclo 5'!V$3:V1000,G46,'Ciclo 5'!H$3:H1000),0)+iferror(averageif('Ciclo 5'!W$3:W1000,G46,'Ciclo 5'!H$3:H1000),0),""),""),""),""))</f>
        <v/>
      </c>
      <c r="K46" s="196" t="str">
        <f t="shared" si="2"/>
        <v/>
      </c>
    </row>
    <row r="47">
      <c r="A47" s="195"/>
      <c r="B47" s="195"/>
      <c r="C47" s="195"/>
      <c r="D47" s="195"/>
      <c r="E47" s="196" t="str">
        <f t="shared" si="1"/>
        <v/>
      </c>
      <c r="G47" s="195"/>
      <c r="H47" s="195" t="str">
        <f>if(G47="",, sumif('Ciclo 1'!P:P,G47,'Ciclo 1'!R:R)+sumif('Ciclo 2'!P:P,G47,'Ciclo 2'!R:R)+sumif('Ciclo 3'!P:P,G47,'Ciclo 3'!R:R)+sumif('Ciclo 4'!P:P,G47,'Ciclo 4'!R:R)+sumif('Ciclo 5'!P:P,G47,'Ciclo 5'!R:R))</f>
        <v/>
      </c>
      <c r="I47" s="198" t="str">
        <f>if(G47="",, sumif('Ciclo 1'!P:P,G47,'Ciclo 1'!Q:Q)+sumif('Ciclo 2'!P:P,G47,'Ciclo 2'!Q:Q)+sumif('Ciclo 3'!P:P,G47,'Ciclo 3'!Q:Q)+sumif('Ciclo 4'!P:P,G47,'Ciclo 4'!Q:Q)+sumif('Ciclo 5'!P:P,G47,'Ciclo 5'!Q:Q))</f>
        <v/>
      </c>
      <c r="J47" s="196" t="str">
        <f>if(G47="","", iferror(averageif('Ciclo 1'!V$3:V1000,G47,'Ciclo 1'!H$3:H1000),0)+iferror(averageif('Ciclo 1'!W$3:W1000,G47,'Ciclo 1'!H$3:H1000)+iferror(averageif('Ciclo 2'!V$3:V1000,G47,'Ciclo 2'!H$3:H1000),0)+iferror(averageif('Ciclo 2'!W$3:W1000,G47,'Ciclo 2'!H$3:H1000)+iferror(averageif('Ciclo 3'!V$3:V1000,G47,'Ciclo 3'!H$3:H1000),0)+iferror(averageif('Ciclo 3'!W$3:W1000,G47,'Ciclo 3'!H$3:H1000)+iferror(averageif('Ciclo 4'!V$3:V1000,G47,'Ciclo 4'!H$3:H1000),0)+iferror(averageif('Ciclo 4'!W$3:W1000,G47,'Ciclo 4'!H$3:H1000)+iferror(averageif('Ciclo 5'!V$3:V1000,G47,'Ciclo 5'!H$3:H1000),0)+iferror(averageif('Ciclo 5'!W$3:W1000,G47,'Ciclo 5'!H$3:H1000),0),""),""),""),""))</f>
        <v/>
      </c>
      <c r="K47" s="196" t="str">
        <f t="shared" si="2"/>
        <v/>
      </c>
    </row>
    <row r="48">
      <c r="A48" s="195"/>
      <c r="B48" s="195"/>
      <c r="C48" s="195"/>
      <c r="D48" s="195"/>
      <c r="E48" s="196" t="str">
        <f t="shared" si="1"/>
        <v/>
      </c>
      <c r="G48" s="195"/>
      <c r="H48" s="195" t="str">
        <f>if(G48="",, sumif('Ciclo 1'!P:P,G48,'Ciclo 1'!R:R)+sumif('Ciclo 2'!P:P,G48,'Ciclo 2'!R:R)+sumif('Ciclo 3'!P:P,G48,'Ciclo 3'!R:R)+sumif('Ciclo 4'!P:P,G48,'Ciclo 4'!R:R)+sumif('Ciclo 5'!P:P,G48,'Ciclo 5'!R:R))</f>
        <v/>
      </c>
      <c r="I48" s="198" t="str">
        <f>if(G48="",, sumif('Ciclo 1'!P:P,G48,'Ciclo 1'!Q:Q)+sumif('Ciclo 2'!P:P,G48,'Ciclo 2'!Q:Q)+sumif('Ciclo 3'!P:P,G48,'Ciclo 3'!Q:Q)+sumif('Ciclo 4'!P:P,G48,'Ciclo 4'!Q:Q)+sumif('Ciclo 5'!P:P,G48,'Ciclo 5'!Q:Q))</f>
        <v/>
      </c>
      <c r="J48" s="196" t="str">
        <f>if(G48="","", iferror(averageif('Ciclo 1'!V$3:V1000,G48,'Ciclo 1'!H$3:H1000),0)+iferror(averageif('Ciclo 1'!W$3:W1000,G48,'Ciclo 1'!H$3:H1000)+iferror(averageif('Ciclo 2'!V$3:V1000,G48,'Ciclo 2'!H$3:H1000),0)+iferror(averageif('Ciclo 2'!W$3:W1000,G48,'Ciclo 2'!H$3:H1000)+iferror(averageif('Ciclo 3'!V$3:V1000,G48,'Ciclo 3'!H$3:H1000),0)+iferror(averageif('Ciclo 3'!W$3:W1000,G48,'Ciclo 3'!H$3:H1000)+iferror(averageif('Ciclo 4'!V$3:V1000,G48,'Ciclo 4'!H$3:H1000),0)+iferror(averageif('Ciclo 4'!W$3:W1000,G48,'Ciclo 4'!H$3:H1000)+iferror(averageif('Ciclo 5'!V$3:V1000,G48,'Ciclo 5'!H$3:H1000),0)+iferror(averageif('Ciclo 5'!W$3:W1000,G48,'Ciclo 5'!H$3:H1000),0),""),""),""),""))</f>
        <v/>
      </c>
      <c r="K48" s="196" t="str">
        <f t="shared" si="2"/>
        <v/>
      </c>
    </row>
    <row r="49">
      <c r="A49" s="195"/>
      <c r="B49" s="195"/>
      <c r="C49" s="195"/>
      <c r="D49" s="195"/>
      <c r="E49" s="196" t="str">
        <f t="shared" si="1"/>
        <v/>
      </c>
      <c r="G49" s="195"/>
      <c r="H49" s="195" t="str">
        <f>if(G49="",, sumif('Ciclo 1'!P:P,G49,'Ciclo 1'!R:R)+sumif('Ciclo 2'!P:P,G49,'Ciclo 2'!R:R)+sumif('Ciclo 3'!P:P,G49,'Ciclo 3'!R:R)+sumif('Ciclo 4'!P:P,G49,'Ciclo 4'!R:R)+sumif('Ciclo 5'!P:P,G49,'Ciclo 5'!R:R))</f>
        <v/>
      </c>
      <c r="I49" s="198" t="str">
        <f>if(G49="",, sumif('Ciclo 1'!P:P,G49,'Ciclo 1'!Q:Q)+sumif('Ciclo 2'!P:P,G49,'Ciclo 2'!Q:Q)+sumif('Ciclo 3'!P:P,G49,'Ciclo 3'!Q:Q)+sumif('Ciclo 4'!P:P,G49,'Ciclo 4'!Q:Q)+sumif('Ciclo 5'!P:P,G49,'Ciclo 5'!Q:Q))</f>
        <v/>
      </c>
      <c r="J49" s="196" t="str">
        <f>if(G49="","", iferror(averageif('Ciclo 1'!V$3:V1000,G49,'Ciclo 1'!H$3:H1000),0)+iferror(averageif('Ciclo 1'!W$3:W1000,G49,'Ciclo 1'!H$3:H1000)+iferror(averageif('Ciclo 2'!V$3:V1000,G49,'Ciclo 2'!H$3:H1000),0)+iferror(averageif('Ciclo 2'!W$3:W1000,G49,'Ciclo 2'!H$3:H1000)+iferror(averageif('Ciclo 3'!V$3:V1000,G49,'Ciclo 3'!H$3:H1000),0)+iferror(averageif('Ciclo 3'!W$3:W1000,G49,'Ciclo 3'!H$3:H1000)+iferror(averageif('Ciclo 4'!V$3:V1000,G49,'Ciclo 4'!H$3:H1000),0)+iferror(averageif('Ciclo 4'!W$3:W1000,G49,'Ciclo 4'!H$3:H1000)+iferror(averageif('Ciclo 5'!V$3:V1000,G49,'Ciclo 5'!H$3:H1000),0)+iferror(averageif('Ciclo 5'!W$3:W1000,G49,'Ciclo 5'!H$3:H1000),0),""),""),""),""))</f>
        <v/>
      </c>
      <c r="K49" s="196" t="str">
        <f t="shared" si="2"/>
        <v/>
      </c>
    </row>
    <row r="50">
      <c r="A50" s="195"/>
      <c r="B50" s="195"/>
      <c r="C50" s="195"/>
      <c r="D50" s="195"/>
      <c r="E50" s="196" t="str">
        <f t="shared" si="1"/>
        <v/>
      </c>
      <c r="G50" s="195"/>
      <c r="H50" s="195" t="str">
        <f>if(G50="",, sumif('Ciclo 1'!P:P,G50,'Ciclo 1'!R:R)+sumif('Ciclo 2'!P:P,G50,'Ciclo 2'!R:R)+sumif('Ciclo 3'!P:P,G50,'Ciclo 3'!R:R)+sumif('Ciclo 4'!P:P,G50,'Ciclo 4'!R:R)+sumif('Ciclo 5'!P:P,G50,'Ciclo 5'!R:R))</f>
        <v/>
      </c>
      <c r="I50" s="198" t="str">
        <f>if(G50="",, sumif('Ciclo 1'!P:P,G50,'Ciclo 1'!Q:Q)+sumif('Ciclo 2'!P:P,G50,'Ciclo 2'!Q:Q)+sumif('Ciclo 3'!P:P,G50,'Ciclo 3'!Q:Q)+sumif('Ciclo 4'!P:P,G50,'Ciclo 4'!Q:Q)+sumif('Ciclo 5'!P:P,G50,'Ciclo 5'!Q:Q))</f>
        <v/>
      </c>
      <c r="J50" s="196" t="str">
        <f>if(G50="","", iferror(averageif('Ciclo 1'!V$3:V1000,G50,'Ciclo 1'!H$3:H1000),0)+iferror(averageif('Ciclo 1'!W$3:W1000,G50,'Ciclo 1'!H$3:H1000)+iferror(averageif('Ciclo 2'!V$3:V1000,G50,'Ciclo 2'!H$3:H1000),0)+iferror(averageif('Ciclo 2'!W$3:W1000,G50,'Ciclo 2'!H$3:H1000)+iferror(averageif('Ciclo 3'!V$3:V1000,G50,'Ciclo 3'!H$3:H1000),0)+iferror(averageif('Ciclo 3'!W$3:W1000,G50,'Ciclo 3'!H$3:H1000)+iferror(averageif('Ciclo 4'!V$3:V1000,G50,'Ciclo 4'!H$3:H1000),0)+iferror(averageif('Ciclo 4'!W$3:W1000,G50,'Ciclo 4'!H$3:H1000)+iferror(averageif('Ciclo 5'!V$3:V1000,G50,'Ciclo 5'!H$3:H1000),0)+iferror(averageif('Ciclo 5'!W$3:W1000,G50,'Ciclo 5'!H$3:H1000),0),""),""),""),""))</f>
        <v/>
      </c>
      <c r="K50" s="196" t="str">
        <f t="shared" si="2"/>
        <v/>
      </c>
    </row>
    <row r="51">
      <c r="A51" s="195"/>
      <c r="B51" s="195"/>
      <c r="C51" s="195"/>
      <c r="D51" s="195"/>
      <c r="E51" s="196" t="str">
        <f t="shared" si="1"/>
        <v/>
      </c>
      <c r="G51" s="195"/>
      <c r="H51" s="195" t="str">
        <f>if(G51="",, sumif('Ciclo 1'!P:P,G51,'Ciclo 1'!R:R)+sumif('Ciclo 2'!P:P,G51,'Ciclo 2'!R:R)+sumif('Ciclo 3'!P:P,G51,'Ciclo 3'!R:R)+sumif('Ciclo 4'!P:P,G51,'Ciclo 4'!R:R)+sumif('Ciclo 5'!P:P,G51,'Ciclo 5'!R:R))</f>
        <v/>
      </c>
      <c r="I51" s="198" t="str">
        <f>if(G51="",, sumif('Ciclo 1'!P:P,G51,'Ciclo 1'!Q:Q)+sumif('Ciclo 2'!P:P,G51,'Ciclo 2'!Q:Q)+sumif('Ciclo 3'!P:P,G51,'Ciclo 3'!Q:Q)+sumif('Ciclo 4'!P:P,G51,'Ciclo 4'!Q:Q)+sumif('Ciclo 5'!P:P,G51,'Ciclo 5'!Q:Q))</f>
        <v/>
      </c>
      <c r="J51" s="196" t="str">
        <f>if(G51="","", iferror(averageif('Ciclo 1'!V$3:V1000,G51,'Ciclo 1'!H$3:H1000),0)+iferror(averageif('Ciclo 1'!W$3:W1000,G51,'Ciclo 1'!H$3:H1000)+iferror(averageif('Ciclo 2'!V$3:V1000,G51,'Ciclo 2'!H$3:H1000),0)+iferror(averageif('Ciclo 2'!W$3:W1000,G51,'Ciclo 2'!H$3:H1000)+iferror(averageif('Ciclo 3'!V$3:V1000,G51,'Ciclo 3'!H$3:H1000),0)+iferror(averageif('Ciclo 3'!W$3:W1000,G51,'Ciclo 3'!H$3:H1000)+iferror(averageif('Ciclo 4'!V$3:V1000,G51,'Ciclo 4'!H$3:H1000),0)+iferror(averageif('Ciclo 4'!W$3:W1000,G51,'Ciclo 4'!H$3:H1000)+iferror(averageif('Ciclo 5'!V$3:V1000,G51,'Ciclo 5'!H$3:H1000),0)+iferror(averageif('Ciclo 5'!W$3:W1000,G51,'Ciclo 5'!H$3:H1000),0),""),""),""),""))</f>
        <v/>
      </c>
      <c r="K51" s="196" t="str">
        <f t="shared" si="2"/>
        <v/>
      </c>
    </row>
    <row r="52">
      <c r="A52" s="195"/>
      <c r="B52" s="195"/>
      <c r="C52" s="195"/>
      <c r="D52" s="195"/>
      <c r="E52" s="196"/>
      <c r="G52" s="195"/>
      <c r="H52" s="195" t="str">
        <f>if(G52="",, sumif('Ciclo 1'!P:P,G52,'Ciclo 1'!R:R)+sumif('Ciclo 2'!P:P,G52,'Ciclo 2'!R:R)+sumif('Ciclo 3'!P:P,G52,'Ciclo 3'!R:R)+sumif('Ciclo 4'!P:P,G52,'Ciclo 4'!R:R)+sumif('Ciclo 5'!P:P,G52,'Ciclo 5'!R:R))</f>
        <v/>
      </c>
      <c r="I52" s="198" t="str">
        <f>if(G52="",, sumif('Ciclo 1'!P:P,G52,'Ciclo 1'!Q:Q)+sumif('Ciclo 2'!P:P,G52,'Ciclo 2'!Q:Q)+sumif('Ciclo 3'!P:P,G52,'Ciclo 3'!Q:Q)+sumif('Ciclo 4'!P:P,G52,'Ciclo 4'!Q:Q)+sumif('Ciclo 5'!P:P,G52,'Ciclo 5'!Q:Q))</f>
        <v/>
      </c>
      <c r="J52" s="196" t="str">
        <f>if(G52="","", iferror(averageif('Ciclo 1'!V$3:V1000,G52,'Ciclo 1'!H$3:H1000),0)+iferror(averageif('Ciclo 1'!W$3:W1000,G52,'Ciclo 1'!H$3:H1000)+iferror(averageif('Ciclo 2'!V$3:V1000,G52,'Ciclo 2'!H$3:H1000),0)+iferror(averageif('Ciclo 2'!W$3:W1000,G52,'Ciclo 2'!H$3:H1000)+iferror(averageif('Ciclo 3'!V$3:V1000,G52,'Ciclo 3'!H$3:H1000),0)+iferror(averageif('Ciclo 3'!W$3:W1000,G52,'Ciclo 3'!H$3:H1000)+iferror(averageif('Ciclo 4'!V$3:V1000,G52,'Ciclo 4'!H$3:H1000),0)+iferror(averageif('Ciclo 4'!W$3:W1000,G52,'Ciclo 4'!H$3:H1000)+iferror(averageif('Ciclo 5'!V$3:V1000,G52,'Ciclo 5'!H$3:H1000),0)+iferror(averageif('Ciclo 5'!W$3:W1000,G52,'Ciclo 5'!H$3:H1000),0),""),""),""),""))</f>
        <v/>
      </c>
      <c r="K52" s="196" t="str">
        <f t="shared" si="2"/>
        <v/>
      </c>
    </row>
    <row r="53">
      <c r="E53" s="196"/>
      <c r="G53" s="195"/>
      <c r="H53" s="195" t="str">
        <f>if(G53="",, sumif('Ciclo 1'!P:P,G53,'Ciclo 1'!R:R)+sumif('Ciclo 2'!P:P,G53,'Ciclo 2'!R:R)+sumif('Ciclo 3'!P:P,G53,'Ciclo 3'!R:R)+sumif('Ciclo 4'!P:P,G53,'Ciclo 4'!R:R)+sumif('Ciclo 5'!P:P,G53,'Ciclo 5'!R:R))</f>
        <v/>
      </c>
      <c r="I53" s="198" t="str">
        <f>if(G53="",, sumif('Ciclo 1'!P:P,G53,'Ciclo 1'!Q:Q)+sumif('Ciclo 2'!P:P,G53,'Ciclo 2'!Q:Q)+sumif('Ciclo 3'!P:P,G53,'Ciclo 3'!Q:Q)+sumif('Ciclo 4'!P:P,G53,'Ciclo 4'!Q:Q)+sumif('Ciclo 5'!P:P,G53,'Ciclo 5'!Q:Q))</f>
        <v/>
      </c>
      <c r="J53" s="196" t="str">
        <f>if(G53="","", iferror(averageif('Ciclo 1'!V$3:V1000,G53,'Ciclo 1'!H$3:H1000),0)+iferror(averageif('Ciclo 1'!W$3:W1000,G53,'Ciclo 1'!H$3:H1000)+iferror(averageif('Ciclo 2'!V$3:V1000,G53,'Ciclo 2'!H$3:H1000),0)+iferror(averageif('Ciclo 2'!W$3:W1000,G53,'Ciclo 2'!H$3:H1000)+iferror(averageif('Ciclo 3'!V$3:V1000,G53,'Ciclo 3'!H$3:H1000),0)+iferror(averageif('Ciclo 3'!W$3:W1000,G53,'Ciclo 3'!H$3:H1000)+iferror(averageif('Ciclo 4'!V$3:V1000,G53,'Ciclo 4'!H$3:H1000),0)+iferror(averageif('Ciclo 4'!W$3:W1000,G53,'Ciclo 4'!H$3:H1000)+iferror(averageif('Ciclo 5'!V$3:V1000,G53,'Ciclo 5'!H$3:H1000),0)+iferror(averageif('Ciclo 5'!W$3:W1000,G53,'Ciclo 5'!H$3:H1000),0),""),""),""),""))</f>
        <v/>
      </c>
      <c r="K53" s="196" t="str">
        <f t="shared" si="2"/>
        <v/>
      </c>
    </row>
    <row r="54">
      <c r="E54" s="196"/>
      <c r="G54" s="195"/>
      <c r="H54" s="195" t="str">
        <f>if(G54="",, sumif('Ciclo 1'!P:P,G54,'Ciclo 1'!R:R)+sumif('Ciclo 2'!P:P,G54,'Ciclo 2'!R:R)+sumif('Ciclo 3'!P:P,G54,'Ciclo 3'!R:R)+sumif('Ciclo 4'!P:P,G54,'Ciclo 4'!R:R)+sumif('Ciclo 5'!P:P,G54,'Ciclo 5'!R:R))</f>
        <v/>
      </c>
      <c r="I54" s="198" t="str">
        <f>if(G54="",, sumif('Ciclo 1'!P:P,G54,'Ciclo 1'!Q:Q)+sumif('Ciclo 2'!P:P,G54,'Ciclo 2'!Q:Q)+sumif('Ciclo 3'!P:P,G54,'Ciclo 3'!Q:Q)+sumif('Ciclo 4'!P:P,G54,'Ciclo 4'!Q:Q)+sumif('Ciclo 5'!P:P,G54,'Ciclo 5'!Q:Q))</f>
        <v/>
      </c>
      <c r="J54" s="196" t="str">
        <f>if(G54="","", iferror(averageif('Ciclo 1'!V$3:V1000,G54,'Ciclo 1'!H$3:H1000),0)+iferror(averageif('Ciclo 1'!W$3:W1000,G54,'Ciclo 1'!H$3:H1000)+iferror(averageif('Ciclo 2'!V$3:V1000,G54,'Ciclo 2'!H$3:H1000),0)+iferror(averageif('Ciclo 2'!W$3:W1000,G54,'Ciclo 2'!H$3:H1000)+iferror(averageif('Ciclo 3'!V$3:V1000,G54,'Ciclo 3'!H$3:H1000),0)+iferror(averageif('Ciclo 3'!W$3:W1000,G54,'Ciclo 3'!H$3:H1000)+iferror(averageif('Ciclo 4'!V$3:V1000,G54,'Ciclo 4'!H$3:H1000),0)+iferror(averageif('Ciclo 4'!W$3:W1000,G54,'Ciclo 4'!H$3:H1000)+iferror(averageif('Ciclo 5'!V$3:V1000,G54,'Ciclo 5'!H$3:H1000),0)+iferror(averageif('Ciclo 5'!W$3:W1000,G54,'Ciclo 5'!H$3:H1000),0),""),""),""),""))</f>
        <v/>
      </c>
      <c r="K54" s="196" t="str">
        <f t="shared" si="2"/>
        <v/>
      </c>
    </row>
    <row r="55">
      <c r="E55" s="196"/>
      <c r="G55" s="195"/>
      <c r="H55" s="195" t="str">
        <f>if(G55="",, sumif('Ciclo 1'!P:P,G55,'Ciclo 1'!R:R)+sumif('Ciclo 2'!P:P,G55,'Ciclo 2'!R:R)+sumif('Ciclo 3'!P:P,G55,'Ciclo 3'!R:R)+sumif('Ciclo 4'!P:P,G55,'Ciclo 4'!R:R)+sumif('Ciclo 5'!P:P,G55,'Ciclo 5'!R:R))</f>
        <v/>
      </c>
      <c r="I55" s="198" t="str">
        <f>if(G55="",, sumif('Ciclo 1'!P:P,G55,'Ciclo 1'!Q:Q)+sumif('Ciclo 2'!P:P,G55,'Ciclo 2'!Q:Q)+sumif('Ciclo 3'!P:P,G55,'Ciclo 3'!Q:Q)+sumif('Ciclo 4'!P:P,G55,'Ciclo 4'!Q:Q)+sumif('Ciclo 5'!P:P,G55,'Ciclo 5'!Q:Q))</f>
        <v/>
      </c>
      <c r="J55" s="196" t="str">
        <f>if(G55="","", iferror(averageif('Ciclo 1'!V$3:V1000,G55,'Ciclo 1'!H$3:H1000),0)+iferror(averageif('Ciclo 1'!W$3:W1000,G55,'Ciclo 1'!H$3:H1000)+iferror(averageif('Ciclo 2'!V$3:V1000,G55,'Ciclo 2'!H$3:H1000),0)+iferror(averageif('Ciclo 2'!W$3:W1000,G55,'Ciclo 2'!H$3:H1000)+iferror(averageif('Ciclo 3'!V$3:V1000,G55,'Ciclo 3'!H$3:H1000),0)+iferror(averageif('Ciclo 3'!W$3:W1000,G55,'Ciclo 3'!H$3:H1000)+iferror(averageif('Ciclo 4'!V$3:V1000,G55,'Ciclo 4'!H$3:H1000),0)+iferror(averageif('Ciclo 4'!W$3:W1000,G55,'Ciclo 4'!H$3:H1000)+iferror(averageif('Ciclo 5'!V$3:V1000,G55,'Ciclo 5'!H$3:H1000),0)+iferror(averageif('Ciclo 5'!W$3:W1000,G55,'Ciclo 5'!H$3:H1000),0),""),""),""),""))</f>
        <v/>
      </c>
      <c r="K55" s="196" t="str">
        <f t="shared" si="2"/>
        <v/>
      </c>
    </row>
    <row r="56">
      <c r="E56" s="196"/>
      <c r="G56" s="195"/>
      <c r="H56" s="195" t="str">
        <f>if(G56="",, sumif('Ciclo 1'!P:P,G56,'Ciclo 1'!R:R)+sumif('Ciclo 2'!P:P,G56,'Ciclo 2'!R:R)+sumif('Ciclo 3'!P:P,G56,'Ciclo 3'!R:R)+sumif('Ciclo 4'!P:P,G56,'Ciclo 4'!R:R)+sumif('Ciclo 5'!P:P,G56,'Ciclo 5'!R:R))</f>
        <v/>
      </c>
      <c r="I56" s="198" t="str">
        <f>if(G56="",, sumif('Ciclo 1'!P:P,G56,'Ciclo 1'!Q:Q)+sumif('Ciclo 2'!P:P,G56,'Ciclo 2'!Q:Q)+sumif('Ciclo 3'!P:P,G56,'Ciclo 3'!Q:Q)+sumif('Ciclo 4'!P:P,G56,'Ciclo 4'!Q:Q)+sumif('Ciclo 5'!P:P,G56,'Ciclo 5'!Q:Q))</f>
        <v/>
      </c>
      <c r="J56" s="196" t="str">
        <f>if(G56="","", iferror(averageif('Ciclo 1'!V$3:V1000,G56,'Ciclo 1'!H$3:H1000),0)+iferror(averageif('Ciclo 1'!W$3:W1000,G56,'Ciclo 1'!H$3:H1000)+iferror(averageif('Ciclo 2'!V$3:V1000,G56,'Ciclo 2'!H$3:H1000),0)+iferror(averageif('Ciclo 2'!W$3:W1000,G56,'Ciclo 2'!H$3:H1000)+iferror(averageif('Ciclo 3'!V$3:V1000,G56,'Ciclo 3'!H$3:H1000),0)+iferror(averageif('Ciclo 3'!W$3:W1000,G56,'Ciclo 3'!H$3:H1000)+iferror(averageif('Ciclo 4'!V$3:V1000,G56,'Ciclo 4'!H$3:H1000),0)+iferror(averageif('Ciclo 4'!W$3:W1000,G56,'Ciclo 4'!H$3:H1000)+iferror(averageif('Ciclo 5'!V$3:V1000,G56,'Ciclo 5'!H$3:H1000),0)+iferror(averageif('Ciclo 5'!W$3:W1000,G56,'Ciclo 5'!H$3:H1000),0),""),""),""),""))</f>
        <v/>
      </c>
      <c r="K56" s="196" t="str">
        <f t="shared" si="2"/>
        <v/>
      </c>
    </row>
    <row r="57">
      <c r="E57" s="196"/>
      <c r="G57" s="195"/>
      <c r="H57" s="195" t="str">
        <f>if(G57="",, sumif('Ciclo 1'!P:P,G57,'Ciclo 1'!R:R)+sumif('Ciclo 2'!P:P,G57,'Ciclo 2'!R:R)+sumif('Ciclo 3'!P:P,G57,'Ciclo 3'!R:R)+sumif('Ciclo 4'!P:P,G57,'Ciclo 4'!R:R)+sumif('Ciclo 5'!P:P,G57,'Ciclo 5'!R:R))</f>
        <v/>
      </c>
      <c r="I57" s="198" t="str">
        <f>if(G57="",, sumif('Ciclo 1'!P:P,G57,'Ciclo 1'!Q:Q)+sumif('Ciclo 2'!P:P,G57,'Ciclo 2'!Q:Q)+sumif('Ciclo 3'!P:P,G57,'Ciclo 3'!Q:Q)+sumif('Ciclo 4'!P:P,G57,'Ciclo 4'!Q:Q)+sumif('Ciclo 5'!P:P,G57,'Ciclo 5'!Q:Q))</f>
        <v/>
      </c>
      <c r="J57" s="196" t="str">
        <f>if(G57="","", iferror(averageif('Ciclo 1'!V$3:V1000,G57,'Ciclo 1'!H$3:H1000),0)+iferror(averageif('Ciclo 1'!W$3:W1000,G57,'Ciclo 1'!H$3:H1000)+iferror(averageif('Ciclo 2'!V$3:V1000,G57,'Ciclo 2'!H$3:H1000),0)+iferror(averageif('Ciclo 2'!W$3:W1000,G57,'Ciclo 2'!H$3:H1000)+iferror(averageif('Ciclo 3'!V$3:V1000,G57,'Ciclo 3'!H$3:H1000),0)+iferror(averageif('Ciclo 3'!W$3:W1000,G57,'Ciclo 3'!H$3:H1000)+iferror(averageif('Ciclo 4'!V$3:V1000,G57,'Ciclo 4'!H$3:H1000),0)+iferror(averageif('Ciclo 4'!W$3:W1000,G57,'Ciclo 4'!H$3:H1000)+iferror(averageif('Ciclo 5'!V$3:V1000,G57,'Ciclo 5'!H$3:H1000),0)+iferror(averageif('Ciclo 5'!W$3:W1000,G57,'Ciclo 5'!H$3:H1000),0),""),""),""),""))</f>
        <v/>
      </c>
      <c r="K57" s="196" t="str">
        <f t="shared" si="2"/>
        <v/>
      </c>
    </row>
    <row r="58">
      <c r="E58" s="196"/>
      <c r="G58" s="195"/>
      <c r="H58" s="195" t="str">
        <f>if(G58="",, sumif('Ciclo 1'!P:P,G58,'Ciclo 1'!R:R)+sumif('Ciclo 2'!P:P,G58,'Ciclo 2'!R:R)+sumif('Ciclo 3'!P:P,G58,'Ciclo 3'!R:R)+sumif('Ciclo 4'!P:P,G58,'Ciclo 4'!R:R)+sumif('Ciclo 5'!P:P,G58,'Ciclo 5'!R:R))</f>
        <v/>
      </c>
      <c r="I58" s="198" t="str">
        <f>if(G58="",, sumif('Ciclo 1'!P:P,G58,'Ciclo 1'!Q:Q)+sumif('Ciclo 2'!P:P,G58,'Ciclo 2'!Q:Q)+sumif('Ciclo 3'!P:P,G58,'Ciclo 3'!Q:Q)+sumif('Ciclo 4'!P:P,G58,'Ciclo 4'!Q:Q)+sumif('Ciclo 5'!P:P,G58,'Ciclo 5'!Q:Q))</f>
        <v/>
      </c>
      <c r="J58" s="196" t="str">
        <f>if(G58="","", iferror(averageif('Ciclo 1'!V$3:V1000,G58,'Ciclo 1'!H$3:H1000),0)+iferror(averageif('Ciclo 1'!W$3:W1000,G58,'Ciclo 1'!H$3:H1000)+iferror(averageif('Ciclo 2'!V$3:V1000,G58,'Ciclo 2'!H$3:H1000),0)+iferror(averageif('Ciclo 2'!W$3:W1000,G58,'Ciclo 2'!H$3:H1000)+iferror(averageif('Ciclo 3'!V$3:V1000,G58,'Ciclo 3'!H$3:H1000),0)+iferror(averageif('Ciclo 3'!W$3:W1000,G58,'Ciclo 3'!H$3:H1000)+iferror(averageif('Ciclo 4'!V$3:V1000,G58,'Ciclo 4'!H$3:H1000),0)+iferror(averageif('Ciclo 4'!W$3:W1000,G58,'Ciclo 4'!H$3:H1000)+iferror(averageif('Ciclo 5'!V$3:V1000,G58,'Ciclo 5'!H$3:H1000),0)+iferror(averageif('Ciclo 5'!W$3:W1000,G58,'Ciclo 5'!H$3:H1000),0),""),""),""),""))</f>
        <v/>
      </c>
      <c r="K58" s="196" t="str">
        <f t="shared" si="2"/>
        <v/>
      </c>
    </row>
    <row r="59">
      <c r="E59" s="196"/>
      <c r="G59" s="195"/>
      <c r="H59" s="195" t="str">
        <f>if(G59="",, sumif('Ciclo 1'!P:P,G59,'Ciclo 1'!R:R)+sumif('Ciclo 2'!P:P,G59,'Ciclo 2'!R:R)+sumif('Ciclo 3'!P:P,G59,'Ciclo 3'!R:R)+sumif('Ciclo 4'!P:P,G59,'Ciclo 4'!R:R)+sumif('Ciclo 5'!P:P,G59,'Ciclo 5'!R:R))</f>
        <v/>
      </c>
      <c r="I59" s="198" t="str">
        <f>if(G59="",, sumif('Ciclo 1'!P:P,G59,'Ciclo 1'!Q:Q)+sumif('Ciclo 2'!P:P,G59,'Ciclo 2'!Q:Q)+sumif('Ciclo 3'!P:P,G59,'Ciclo 3'!Q:Q)+sumif('Ciclo 4'!P:P,G59,'Ciclo 4'!Q:Q)+sumif('Ciclo 5'!P:P,G59,'Ciclo 5'!Q:Q))</f>
        <v/>
      </c>
      <c r="J59" s="196" t="str">
        <f>if(G59="","", iferror(averageif('Ciclo 1'!V$3:V1000,G59,'Ciclo 1'!H$3:H1000),0)+iferror(averageif('Ciclo 1'!W$3:W1000,G59,'Ciclo 1'!H$3:H1000)+iferror(averageif('Ciclo 2'!V$3:V1000,G59,'Ciclo 2'!H$3:H1000),0)+iferror(averageif('Ciclo 2'!W$3:W1000,G59,'Ciclo 2'!H$3:H1000)+iferror(averageif('Ciclo 3'!V$3:V1000,G59,'Ciclo 3'!H$3:H1000),0)+iferror(averageif('Ciclo 3'!W$3:W1000,G59,'Ciclo 3'!H$3:H1000)+iferror(averageif('Ciclo 4'!V$3:V1000,G59,'Ciclo 4'!H$3:H1000),0)+iferror(averageif('Ciclo 4'!W$3:W1000,G59,'Ciclo 4'!H$3:H1000)+iferror(averageif('Ciclo 5'!V$3:V1000,G59,'Ciclo 5'!H$3:H1000),0)+iferror(averageif('Ciclo 5'!W$3:W1000,G59,'Ciclo 5'!H$3:H1000),0),""),""),""),""))</f>
        <v/>
      </c>
      <c r="K59" s="196" t="str">
        <f t="shared" si="2"/>
        <v/>
      </c>
    </row>
    <row r="60">
      <c r="E60" s="196"/>
      <c r="G60" s="195"/>
      <c r="H60" s="195" t="str">
        <f>if(G60="",, sumif('Ciclo 1'!P:P,G60,'Ciclo 1'!R:R)+sumif('Ciclo 2'!P:P,G60,'Ciclo 2'!R:R)+sumif('Ciclo 3'!P:P,G60,'Ciclo 3'!R:R)+sumif('Ciclo 4'!P:P,G60,'Ciclo 4'!R:R)+sumif('Ciclo 5'!P:P,G60,'Ciclo 5'!R:R))</f>
        <v/>
      </c>
      <c r="I60" s="198" t="str">
        <f>if(G60="",, sumif('Ciclo 1'!P:P,G60,'Ciclo 1'!Q:Q)+sumif('Ciclo 2'!P:P,G60,'Ciclo 2'!Q:Q)+sumif('Ciclo 3'!P:P,G60,'Ciclo 3'!Q:Q)+sumif('Ciclo 4'!P:P,G60,'Ciclo 4'!Q:Q)+sumif('Ciclo 5'!P:P,G60,'Ciclo 5'!Q:Q))</f>
        <v/>
      </c>
      <c r="J60" s="196" t="str">
        <f>if(G60="","", iferror(averageif('Ciclo 1'!V$3:V1000,G60,'Ciclo 1'!H$3:H1000),0)+iferror(averageif('Ciclo 1'!W$3:W1000,G60,'Ciclo 1'!H$3:H1000)+iferror(averageif('Ciclo 2'!V$3:V1000,G60,'Ciclo 2'!H$3:H1000),0)+iferror(averageif('Ciclo 2'!W$3:W1000,G60,'Ciclo 2'!H$3:H1000)+iferror(averageif('Ciclo 3'!V$3:V1000,G60,'Ciclo 3'!H$3:H1000),0)+iferror(averageif('Ciclo 3'!W$3:W1000,G60,'Ciclo 3'!H$3:H1000)+iferror(averageif('Ciclo 4'!V$3:V1000,G60,'Ciclo 4'!H$3:H1000),0)+iferror(averageif('Ciclo 4'!W$3:W1000,G60,'Ciclo 4'!H$3:H1000)+iferror(averageif('Ciclo 5'!V$3:V1000,G60,'Ciclo 5'!H$3:H1000),0)+iferror(averageif('Ciclo 5'!W$3:W1000,G60,'Ciclo 5'!H$3:H1000),0),""),""),""),""))</f>
        <v/>
      </c>
      <c r="K60" s="196" t="str">
        <f t="shared" si="2"/>
        <v/>
      </c>
    </row>
    <row r="61">
      <c r="E61" s="196"/>
      <c r="G61" s="195"/>
      <c r="H61" s="195" t="str">
        <f>if(G61="",, sumif('Ciclo 1'!P:P,G61,'Ciclo 1'!R:R)+sumif('Ciclo 2'!P:P,G61,'Ciclo 2'!R:R)+sumif('Ciclo 3'!P:P,G61,'Ciclo 3'!R:R)+sumif('Ciclo 4'!P:P,G61,'Ciclo 4'!R:R)+sumif('Ciclo 5'!P:P,G61,'Ciclo 5'!R:R))</f>
        <v/>
      </c>
      <c r="I61" s="198" t="str">
        <f>if(G61="",, sumif('Ciclo 1'!P:P,G61,'Ciclo 1'!Q:Q)+sumif('Ciclo 2'!P:P,G61,'Ciclo 2'!Q:Q)+sumif('Ciclo 3'!P:P,G61,'Ciclo 3'!Q:Q)+sumif('Ciclo 4'!P:P,G61,'Ciclo 4'!Q:Q)+sumif('Ciclo 5'!P:P,G61,'Ciclo 5'!Q:Q))</f>
        <v/>
      </c>
      <c r="J61" s="196" t="str">
        <f>if(G61="","", iferror(averageif('Ciclo 1'!V$3:V1000,G61,'Ciclo 1'!H$3:H1000),0)+iferror(averageif('Ciclo 1'!W$3:W1000,G61,'Ciclo 1'!H$3:H1000)+iferror(averageif('Ciclo 2'!V$3:V1000,G61,'Ciclo 2'!H$3:H1000),0)+iferror(averageif('Ciclo 2'!W$3:W1000,G61,'Ciclo 2'!H$3:H1000)+iferror(averageif('Ciclo 3'!V$3:V1000,G61,'Ciclo 3'!H$3:H1000),0)+iferror(averageif('Ciclo 3'!W$3:W1000,G61,'Ciclo 3'!H$3:H1000)+iferror(averageif('Ciclo 4'!V$3:V1000,G61,'Ciclo 4'!H$3:H1000),0)+iferror(averageif('Ciclo 4'!W$3:W1000,G61,'Ciclo 4'!H$3:H1000)+iferror(averageif('Ciclo 5'!V$3:V1000,G61,'Ciclo 5'!H$3:H1000),0)+iferror(averageif('Ciclo 5'!W$3:W1000,G61,'Ciclo 5'!H$3:H1000),0),""),""),""),""))</f>
        <v/>
      </c>
      <c r="K61" s="196" t="str">
        <f t="shared" si="2"/>
        <v/>
      </c>
    </row>
    <row r="62">
      <c r="E62" s="196"/>
      <c r="G62" s="195"/>
      <c r="H62" s="195" t="str">
        <f>if(G62="",, sumif('Ciclo 1'!P:P,G62,'Ciclo 1'!R:R)+sumif('Ciclo 2'!P:P,G62,'Ciclo 2'!R:R)+sumif('Ciclo 3'!P:P,G62,'Ciclo 3'!R:R)+sumif('Ciclo 4'!P:P,G62,'Ciclo 4'!R:R)+sumif('Ciclo 5'!P:P,G62,'Ciclo 5'!R:R))</f>
        <v/>
      </c>
      <c r="I62" s="198" t="str">
        <f>if(G62="",, sumif('Ciclo 1'!P:P,G62,'Ciclo 1'!Q:Q)+sumif('Ciclo 2'!P:P,G62,'Ciclo 2'!Q:Q)+sumif('Ciclo 3'!P:P,G62,'Ciclo 3'!Q:Q)+sumif('Ciclo 4'!P:P,G62,'Ciclo 4'!Q:Q)+sumif('Ciclo 5'!P:P,G62,'Ciclo 5'!Q:Q))</f>
        <v/>
      </c>
      <c r="J62" s="196" t="str">
        <f>if(G62="","", iferror(averageif('Ciclo 1'!V$3:V1000,G62,'Ciclo 1'!H$3:H1000),0)+iferror(averageif('Ciclo 1'!W$3:W1000,G62,'Ciclo 1'!H$3:H1000)+iferror(averageif('Ciclo 2'!V$3:V1000,G62,'Ciclo 2'!H$3:H1000),0)+iferror(averageif('Ciclo 2'!W$3:W1000,G62,'Ciclo 2'!H$3:H1000)+iferror(averageif('Ciclo 3'!V$3:V1000,G62,'Ciclo 3'!H$3:H1000),0)+iferror(averageif('Ciclo 3'!W$3:W1000,G62,'Ciclo 3'!H$3:H1000)+iferror(averageif('Ciclo 4'!V$3:V1000,G62,'Ciclo 4'!H$3:H1000),0)+iferror(averageif('Ciclo 4'!W$3:W1000,G62,'Ciclo 4'!H$3:H1000)+iferror(averageif('Ciclo 5'!V$3:V1000,G62,'Ciclo 5'!H$3:H1000),0)+iferror(averageif('Ciclo 5'!W$3:W1000,G62,'Ciclo 5'!H$3:H1000),0),""),""),""),""))</f>
        <v/>
      </c>
      <c r="K62" s="196" t="str">
        <f t="shared" si="2"/>
        <v/>
      </c>
    </row>
    <row r="63">
      <c r="E63" s="196"/>
      <c r="G63" s="195"/>
      <c r="H63" s="195" t="str">
        <f>if(G63="",, sumif('Ciclo 1'!P:P,G63,'Ciclo 1'!R:R)+sumif('Ciclo 2'!P:P,G63,'Ciclo 2'!R:R)+sumif('Ciclo 3'!P:P,G63,'Ciclo 3'!R:R)+sumif('Ciclo 4'!P:P,G63,'Ciclo 4'!R:R)+sumif('Ciclo 5'!P:P,G63,'Ciclo 5'!R:R))</f>
        <v/>
      </c>
      <c r="I63" s="198" t="str">
        <f>if(G63="",, sumif('Ciclo 1'!P:P,G63,'Ciclo 1'!Q:Q)+sumif('Ciclo 2'!P:P,G63,'Ciclo 2'!Q:Q)+sumif('Ciclo 3'!P:P,G63,'Ciclo 3'!Q:Q)+sumif('Ciclo 4'!P:P,G63,'Ciclo 4'!Q:Q)+sumif('Ciclo 5'!P:P,G63,'Ciclo 5'!Q:Q))</f>
        <v/>
      </c>
      <c r="J63" s="196" t="str">
        <f>if(G63="","", iferror(averageif('Ciclo 1'!V$3:V1000,G63,'Ciclo 1'!H$3:H1000),0)+iferror(averageif('Ciclo 1'!W$3:W1000,G63,'Ciclo 1'!H$3:H1000)+iferror(averageif('Ciclo 2'!V$3:V1000,G63,'Ciclo 2'!H$3:H1000),0)+iferror(averageif('Ciclo 2'!W$3:W1000,G63,'Ciclo 2'!H$3:H1000)+iferror(averageif('Ciclo 3'!V$3:V1000,G63,'Ciclo 3'!H$3:H1000),0)+iferror(averageif('Ciclo 3'!W$3:W1000,G63,'Ciclo 3'!H$3:H1000)+iferror(averageif('Ciclo 4'!V$3:V1000,G63,'Ciclo 4'!H$3:H1000),0)+iferror(averageif('Ciclo 4'!W$3:W1000,G63,'Ciclo 4'!H$3:H1000)+iferror(averageif('Ciclo 5'!V$3:V1000,G63,'Ciclo 5'!H$3:H1000),0)+iferror(averageif('Ciclo 5'!W$3:W1000,G63,'Ciclo 5'!H$3:H1000),0),""),""),""),""))</f>
        <v/>
      </c>
      <c r="K63" s="196" t="str">
        <f t="shared" si="2"/>
        <v/>
      </c>
    </row>
    <row r="64">
      <c r="E64" s="196"/>
      <c r="G64" s="195"/>
      <c r="H64" s="195" t="str">
        <f>if(G64="",, sumif('Ciclo 1'!P:P,G64,'Ciclo 1'!R:R)+sumif('Ciclo 2'!P:P,G64,'Ciclo 2'!R:R)+sumif('Ciclo 3'!P:P,G64,'Ciclo 3'!R:R)+sumif('Ciclo 4'!P:P,G64,'Ciclo 4'!R:R)+sumif('Ciclo 5'!P:P,G64,'Ciclo 5'!R:R))</f>
        <v/>
      </c>
      <c r="I64" s="198" t="str">
        <f>if(G64="",, sumif('Ciclo 1'!P:P,G64,'Ciclo 1'!Q:Q)+sumif('Ciclo 2'!P:P,G64,'Ciclo 2'!Q:Q)+sumif('Ciclo 3'!P:P,G64,'Ciclo 3'!Q:Q)+sumif('Ciclo 4'!P:P,G64,'Ciclo 4'!Q:Q)+sumif('Ciclo 5'!P:P,G64,'Ciclo 5'!Q:Q))</f>
        <v/>
      </c>
      <c r="J64" s="196" t="str">
        <f>if(G64="","", iferror(averageif('Ciclo 1'!V$3:V1000,G64,'Ciclo 1'!H$3:H1000),0)+iferror(averageif('Ciclo 1'!W$3:W1000,G64,'Ciclo 1'!H$3:H1000)+iferror(averageif('Ciclo 2'!V$3:V1000,G64,'Ciclo 2'!H$3:H1000),0)+iferror(averageif('Ciclo 2'!W$3:W1000,G64,'Ciclo 2'!H$3:H1000)+iferror(averageif('Ciclo 3'!V$3:V1000,G64,'Ciclo 3'!H$3:H1000),0)+iferror(averageif('Ciclo 3'!W$3:W1000,G64,'Ciclo 3'!H$3:H1000)+iferror(averageif('Ciclo 4'!V$3:V1000,G64,'Ciclo 4'!H$3:H1000),0)+iferror(averageif('Ciclo 4'!W$3:W1000,G64,'Ciclo 4'!H$3:H1000)+iferror(averageif('Ciclo 5'!V$3:V1000,G64,'Ciclo 5'!H$3:H1000),0)+iferror(averageif('Ciclo 5'!W$3:W1000,G64,'Ciclo 5'!H$3:H1000),0),""),""),""),""))</f>
        <v/>
      </c>
      <c r="K64" s="196" t="str">
        <f t="shared" si="2"/>
        <v/>
      </c>
    </row>
    <row r="65">
      <c r="E65" s="196"/>
      <c r="G65" s="195"/>
      <c r="H65" s="195" t="str">
        <f>if(G65="",, sumif('Ciclo 1'!P:P,G65,'Ciclo 1'!R:R)+sumif('Ciclo 2'!P:P,G65,'Ciclo 2'!R:R)+sumif('Ciclo 3'!P:P,G65,'Ciclo 3'!R:R)+sumif('Ciclo 4'!P:P,G65,'Ciclo 4'!R:R)+sumif('Ciclo 5'!P:P,G65,'Ciclo 5'!R:R))</f>
        <v/>
      </c>
      <c r="I65" s="198" t="str">
        <f>if(G65="",, sumif('Ciclo 1'!P:P,G65,'Ciclo 1'!Q:Q)+sumif('Ciclo 2'!P:P,G65,'Ciclo 2'!Q:Q)+sumif('Ciclo 3'!P:P,G65,'Ciclo 3'!Q:Q)+sumif('Ciclo 4'!P:P,G65,'Ciclo 4'!Q:Q)+sumif('Ciclo 5'!P:P,G65,'Ciclo 5'!Q:Q))</f>
        <v/>
      </c>
      <c r="J65" s="196" t="str">
        <f>if(G65="","", iferror(averageif('Ciclo 1'!V$3:V1000,G65,'Ciclo 1'!H$3:H1000),0)+iferror(averageif('Ciclo 1'!W$3:W1000,G65,'Ciclo 1'!H$3:H1000)+iferror(averageif('Ciclo 2'!V$3:V1000,G65,'Ciclo 2'!H$3:H1000),0)+iferror(averageif('Ciclo 2'!W$3:W1000,G65,'Ciclo 2'!H$3:H1000)+iferror(averageif('Ciclo 3'!V$3:V1000,G65,'Ciclo 3'!H$3:H1000),0)+iferror(averageif('Ciclo 3'!W$3:W1000,G65,'Ciclo 3'!H$3:H1000)+iferror(averageif('Ciclo 4'!V$3:V1000,G65,'Ciclo 4'!H$3:H1000),0)+iferror(averageif('Ciclo 4'!W$3:W1000,G65,'Ciclo 4'!H$3:H1000)+iferror(averageif('Ciclo 5'!V$3:V1000,G65,'Ciclo 5'!H$3:H1000),0)+iferror(averageif('Ciclo 5'!W$3:W1000,G65,'Ciclo 5'!H$3:H1000),0),""),""),""),""))</f>
        <v/>
      </c>
      <c r="K65" s="196" t="str">
        <f t="shared" si="2"/>
        <v/>
      </c>
    </row>
    <row r="66">
      <c r="E66" s="196"/>
      <c r="G66" s="195"/>
      <c r="H66" s="195" t="str">
        <f>if(G66="",, sumif('Ciclo 1'!P:P,G66,'Ciclo 1'!R:R)+sumif('Ciclo 2'!P:P,G66,'Ciclo 2'!R:R)+sumif('Ciclo 3'!P:P,G66,'Ciclo 3'!R:R)+sumif('Ciclo 4'!P:P,G66,'Ciclo 4'!R:R)+sumif('Ciclo 5'!P:P,G66,'Ciclo 5'!R:R))</f>
        <v/>
      </c>
      <c r="I66" s="198" t="str">
        <f>if(G66="",, sumif('Ciclo 1'!P:P,G66,'Ciclo 1'!Q:Q)+sumif('Ciclo 2'!P:P,G66,'Ciclo 2'!Q:Q)+sumif('Ciclo 3'!P:P,G66,'Ciclo 3'!Q:Q)+sumif('Ciclo 4'!P:P,G66,'Ciclo 4'!Q:Q)+sumif('Ciclo 5'!P:P,G66,'Ciclo 5'!Q:Q))</f>
        <v/>
      </c>
      <c r="J66" s="196" t="str">
        <f>if(G66="","", iferror(averageif('Ciclo 1'!V$3:V1000,G66,'Ciclo 1'!H$3:H1000),0)+iferror(averageif('Ciclo 1'!W$3:W1000,G66,'Ciclo 1'!H$3:H1000)+iferror(averageif('Ciclo 2'!V$3:V1000,G66,'Ciclo 2'!H$3:H1000),0)+iferror(averageif('Ciclo 2'!W$3:W1000,G66,'Ciclo 2'!H$3:H1000)+iferror(averageif('Ciclo 3'!V$3:V1000,G66,'Ciclo 3'!H$3:H1000),0)+iferror(averageif('Ciclo 3'!W$3:W1000,G66,'Ciclo 3'!H$3:H1000)+iferror(averageif('Ciclo 4'!V$3:V1000,G66,'Ciclo 4'!H$3:H1000),0)+iferror(averageif('Ciclo 4'!W$3:W1000,G66,'Ciclo 4'!H$3:H1000)+iferror(averageif('Ciclo 5'!V$3:V1000,G66,'Ciclo 5'!H$3:H1000),0)+iferror(averageif('Ciclo 5'!W$3:W1000,G66,'Ciclo 5'!H$3:H1000),0),""),""),""),""))</f>
        <v/>
      </c>
      <c r="K66" s="196" t="str">
        <f t="shared" si="2"/>
        <v/>
      </c>
    </row>
    <row r="67">
      <c r="E67" s="196"/>
      <c r="G67" s="195"/>
      <c r="H67" s="195" t="str">
        <f>if(G67="",, sumif('Ciclo 1'!P:P,G67,'Ciclo 1'!R:R)+sumif('Ciclo 2'!P:P,G67,'Ciclo 2'!R:R)+sumif('Ciclo 3'!P:P,G67,'Ciclo 3'!R:R)+sumif('Ciclo 4'!P:P,G67,'Ciclo 4'!R:R)+sumif('Ciclo 5'!P:P,G67,'Ciclo 5'!R:R))</f>
        <v/>
      </c>
      <c r="I67" s="198" t="str">
        <f>if(G67="",, sumif('Ciclo 1'!P:P,G67,'Ciclo 1'!Q:Q)+sumif('Ciclo 2'!P:P,G67,'Ciclo 2'!Q:Q)+sumif('Ciclo 3'!P:P,G67,'Ciclo 3'!Q:Q)+sumif('Ciclo 4'!P:P,G67,'Ciclo 4'!Q:Q)+sumif('Ciclo 5'!P:P,G67,'Ciclo 5'!Q:Q))</f>
        <v/>
      </c>
      <c r="J67" s="196" t="str">
        <f>if(G67="","", iferror(averageif('Ciclo 1'!V$3:V1000,G67,'Ciclo 1'!H$3:H1000),0)+iferror(averageif('Ciclo 1'!W$3:W1000,G67,'Ciclo 1'!H$3:H1000)+iferror(averageif('Ciclo 2'!V$3:V1000,G67,'Ciclo 2'!H$3:H1000),0)+iferror(averageif('Ciclo 2'!W$3:W1000,G67,'Ciclo 2'!H$3:H1000)+iferror(averageif('Ciclo 3'!V$3:V1000,G67,'Ciclo 3'!H$3:H1000),0)+iferror(averageif('Ciclo 3'!W$3:W1000,G67,'Ciclo 3'!H$3:H1000)+iferror(averageif('Ciclo 4'!V$3:V1000,G67,'Ciclo 4'!H$3:H1000),0)+iferror(averageif('Ciclo 4'!W$3:W1000,G67,'Ciclo 4'!H$3:H1000)+iferror(averageif('Ciclo 5'!V$3:V1000,G67,'Ciclo 5'!H$3:H1000),0)+iferror(averageif('Ciclo 5'!W$3:W1000,G67,'Ciclo 5'!H$3:H1000),0),""),""),""),""))</f>
        <v/>
      </c>
      <c r="K67" s="196" t="str">
        <f t="shared" si="2"/>
        <v/>
      </c>
    </row>
    <row r="68">
      <c r="E68" s="196"/>
      <c r="G68" s="195"/>
      <c r="H68" s="195" t="str">
        <f>if(G68="",, sumif('Ciclo 1'!P:P,G68,'Ciclo 1'!R:R)+sumif('Ciclo 2'!P:P,G68,'Ciclo 2'!R:R)+sumif('Ciclo 3'!P:P,G68,'Ciclo 3'!R:R)+sumif('Ciclo 4'!P:P,G68,'Ciclo 4'!R:R)+sumif('Ciclo 5'!P:P,G68,'Ciclo 5'!R:R))</f>
        <v/>
      </c>
      <c r="I68" s="198" t="str">
        <f>if(G68="",, sumif('Ciclo 1'!P:P,G68,'Ciclo 1'!Q:Q)+sumif('Ciclo 2'!P:P,G68,'Ciclo 2'!Q:Q)+sumif('Ciclo 3'!P:P,G68,'Ciclo 3'!Q:Q)+sumif('Ciclo 4'!P:P,G68,'Ciclo 4'!Q:Q)+sumif('Ciclo 5'!P:P,G68,'Ciclo 5'!Q:Q))</f>
        <v/>
      </c>
      <c r="J68" s="196" t="str">
        <f>if(G68="","", iferror(averageif('Ciclo 1'!V$3:V1000,G68,'Ciclo 1'!H$3:H1000),0)+iferror(averageif('Ciclo 1'!W$3:W1000,G68,'Ciclo 1'!H$3:H1000)+iferror(averageif('Ciclo 2'!V$3:V1000,G68,'Ciclo 2'!H$3:H1000),0)+iferror(averageif('Ciclo 2'!W$3:W1000,G68,'Ciclo 2'!H$3:H1000)+iferror(averageif('Ciclo 3'!V$3:V1000,G68,'Ciclo 3'!H$3:H1000),0)+iferror(averageif('Ciclo 3'!W$3:W1000,G68,'Ciclo 3'!H$3:H1000)+iferror(averageif('Ciclo 4'!V$3:V1000,G68,'Ciclo 4'!H$3:H1000),0)+iferror(averageif('Ciclo 4'!W$3:W1000,G68,'Ciclo 4'!H$3:H1000)+iferror(averageif('Ciclo 5'!V$3:V1000,G68,'Ciclo 5'!H$3:H1000),0)+iferror(averageif('Ciclo 5'!W$3:W1000,G68,'Ciclo 5'!H$3:H1000),0),""),""),""),""))</f>
        <v/>
      </c>
      <c r="K68" s="196" t="str">
        <f t="shared" si="2"/>
        <v/>
      </c>
    </row>
    <row r="69">
      <c r="E69" s="196"/>
      <c r="G69" s="195"/>
      <c r="H69" s="195" t="str">
        <f>if(G69="",, sumif('Ciclo 1'!P:P,G69,'Ciclo 1'!R:R)+sumif('Ciclo 2'!P:P,G69,'Ciclo 2'!R:R)+sumif('Ciclo 3'!P:P,G69,'Ciclo 3'!R:R)+sumif('Ciclo 4'!P:P,G69,'Ciclo 4'!R:R)+sumif('Ciclo 5'!P:P,G69,'Ciclo 5'!R:R))</f>
        <v/>
      </c>
      <c r="I69" s="198" t="str">
        <f>if(G69="",, sumif('Ciclo 1'!P:P,G69,'Ciclo 1'!Q:Q)+sumif('Ciclo 2'!P:P,G69,'Ciclo 2'!Q:Q)+sumif('Ciclo 3'!P:P,G69,'Ciclo 3'!Q:Q)+sumif('Ciclo 4'!P:P,G69,'Ciclo 4'!Q:Q)+sumif('Ciclo 5'!P:P,G69,'Ciclo 5'!Q:Q))</f>
        <v/>
      </c>
      <c r="J69" s="196" t="str">
        <f>if(G69="","", iferror(averageif('Ciclo 1'!V$3:V1000,G69,'Ciclo 1'!H$3:H1000),0)+iferror(averageif('Ciclo 1'!W$3:W1000,G69,'Ciclo 1'!H$3:H1000)+iferror(averageif('Ciclo 2'!V$3:V1000,G69,'Ciclo 2'!H$3:H1000),0)+iferror(averageif('Ciclo 2'!W$3:W1000,G69,'Ciclo 2'!H$3:H1000)+iferror(averageif('Ciclo 3'!V$3:V1000,G69,'Ciclo 3'!H$3:H1000),0)+iferror(averageif('Ciclo 3'!W$3:W1000,G69,'Ciclo 3'!H$3:H1000)+iferror(averageif('Ciclo 4'!V$3:V1000,G69,'Ciclo 4'!H$3:H1000),0)+iferror(averageif('Ciclo 4'!W$3:W1000,G69,'Ciclo 4'!H$3:H1000)+iferror(averageif('Ciclo 5'!V$3:V1000,G69,'Ciclo 5'!H$3:H1000),0)+iferror(averageif('Ciclo 5'!W$3:W1000,G69,'Ciclo 5'!H$3:H1000),0),""),""),""),""))</f>
        <v/>
      </c>
      <c r="K69" s="196" t="str">
        <f t="shared" si="2"/>
        <v/>
      </c>
    </row>
    <row r="70">
      <c r="E70" s="196"/>
      <c r="G70" s="195"/>
      <c r="H70" s="195" t="str">
        <f>if(G70="",, sumif('Ciclo 1'!P:P,G70,'Ciclo 1'!R:R)+sumif('Ciclo 2'!P:P,G70,'Ciclo 2'!R:R)+sumif('Ciclo 3'!P:P,G70,'Ciclo 3'!R:R)+sumif('Ciclo 4'!P:P,G70,'Ciclo 4'!R:R)+sumif('Ciclo 5'!P:P,G70,'Ciclo 5'!R:R))</f>
        <v/>
      </c>
      <c r="I70" s="198" t="str">
        <f>if(G70="",, sumif('Ciclo 1'!P:P,G70,'Ciclo 1'!Q:Q)+sumif('Ciclo 2'!P:P,G70,'Ciclo 2'!Q:Q)+sumif('Ciclo 3'!P:P,G70,'Ciclo 3'!Q:Q)+sumif('Ciclo 4'!P:P,G70,'Ciclo 4'!Q:Q)+sumif('Ciclo 5'!P:P,G70,'Ciclo 5'!Q:Q))</f>
        <v/>
      </c>
      <c r="J70" s="196" t="str">
        <f>if(G70="","", iferror(averageif('Ciclo 1'!V$3:V1000,G70,'Ciclo 1'!H$3:H1000),0)+iferror(averageif('Ciclo 1'!W$3:W1000,G70,'Ciclo 1'!H$3:H1000)+iferror(averageif('Ciclo 2'!V$3:V1000,G70,'Ciclo 2'!H$3:H1000),0)+iferror(averageif('Ciclo 2'!W$3:W1000,G70,'Ciclo 2'!H$3:H1000)+iferror(averageif('Ciclo 3'!V$3:V1000,G70,'Ciclo 3'!H$3:H1000),0)+iferror(averageif('Ciclo 3'!W$3:W1000,G70,'Ciclo 3'!H$3:H1000)+iferror(averageif('Ciclo 4'!V$3:V1000,G70,'Ciclo 4'!H$3:H1000),0)+iferror(averageif('Ciclo 4'!W$3:W1000,G70,'Ciclo 4'!H$3:H1000)+iferror(averageif('Ciclo 5'!V$3:V1000,G70,'Ciclo 5'!H$3:H1000),0)+iferror(averageif('Ciclo 5'!W$3:W1000,G70,'Ciclo 5'!H$3:H1000),0),""),""),""),""))</f>
        <v/>
      </c>
      <c r="K70" s="196" t="str">
        <f t="shared" si="2"/>
        <v/>
      </c>
    </row>
    <row r="71">
      <c r="E71" s="196"/>
      <c r="G71" s="195"/>
      <c r="H71" s="195" t="str">
        <f>if(G71="",, sumif('Ciclo 1'!P:P,G71,'Ciclo 1'!R:R)+sumif('Ciclo 2'!P:P,G71,'Ciclo 2'!R:R)+sumif('Ciclo 3'!P:P,G71,'Ciclo 3'!R:R)+sumif('Ciclo 4'!P:P,G71,'Ciclo 4'!R:R)+sumif('Ciclo 5'!P:P,G71,'Ciclo 5'!R:R))</f>
        <v/>
      </c>
      <c r="I71" s="198" t="str">
        <f>if(G71="",, sumif('Ciclo 1'!P:P,G71,'Ciclo 1'!Q:Q)+sumif('Ciclo 2'!P:P,G71,'Ciclo 2'!Q:Q)+sumif('Ciclo 3'!P:P,G71,'Ciclo 3'!Q:Q)+sumif('Ciclo 4'!P:P,G71,'Ciclo 4'!Q:Q)+sumif('Ciclo 5'!P:P,G71,'Ciclo 5'!Q:Q))</f>
        <v/>
      </c>
      <c r="J71" s="196" t="str">
        <f>if(G71="","", iferror(averageif('Ciclo 1'!V$3:V1000,G71,'Ciclo 1'!H$3:H1000),0)+iferror(averageif('Ciclo 1'!W$3:W1000,G71,'Ciclo 1'!H$3:H1000)+iferror(averageif('Ciclo 2'!V$3:V1000,G71,'Ciclo 2'!H$3:H1000),0)+iferror(averageif('Ciclo 2'!W$3:W1000,G71,'Ciclo 2'!H$3:H1000)+iferror(averageif('Ciclo 3'!V$3:V1000,G71,'Ciclo 3'!H$3:H1000),0)+iferror(averageif('Ciclo 3'!W$3:W1000,G71,'Ciclo 3'!H$3:H1000)+iferror(averageif('Ciclo 4'!V$3:V1000,G71,'Ciclo 4'!H$3:H1000),0)+iferror(averageif('Ciclo 4'!W$3:W1000,G71,'Ciclo 4'!H$3:H1000)+iferror(averageif('Ciclo 5'!V$3:V1000,G71,'Ciclo 5'!H$3:H1000),0)+iferror(averageif('Ciclo 5'!W$3:W1000,G71,'Ciclo 5'!H$3:H1000),0),""),""),""),""))</f>
        <v/>
      </c>
      <c r="K71" s="196" t="str">
        <f t="shared" si="2"/>
        <v/>
      </c>
    </row>
    <row r="72">
      <c r="E72" s="196"/>
      <c r="G72" s="195"/>
      <c r="H72" s="195" t="str">
        <f>if(G72="",, sumif('Ciclo 1'!P:P,G72,'Ciclo 1'!R:R)+sumif('Ciclo 2'!P:P,G72,'Ciclo 2'!R:R)+sumif('Ciclo 3'!P:P,G72,'Ciclo 3'!R:R)+sumif('Ciclo 4'!P:P,G72,'Ciclo 4'!R:R)+sumif('Ciclo 5'!P:P,G72,'Ciclo 5'!R:R))</f>
        <v/>
      </c>
      <c r="I72" s="198" t="str">
        <f>if(G72="",, sumif('Ciclo 1'!P:P,G72,'Ciclo 1'!Q:Q)+sumif('Ciclo 2'!P:P,G72,'Ciclo 2'!Q:Q)+sumif('Ciclo 3'!P:P,G72,'Ciclo 3'!Q:Q)+sumif('Ciclo 4'!P:P,G72,'Ciclo 4'!Q:Q)+sumif('Ciclo 5'!P:P,G72,'Ciclo 5'!Q:Q))</f>
        <v/>
      </c>
      <c r="J72" s="196" t="str">
        <f>if(G72="","", iferror(averageif('Ciclo 1'!V$3:V1000,G72,'Ciclo 1'!H$3:H1000),0)+iferror(averageif('Ciclo 1'!W$3:W1000,G72,'Ciclo 1'!H$3:H1000)+iferror(averageif('Ciclo 2'!V$3:V1000,G72,'Ciclo 2'!H$3:H1000),0)+iferror(averageif('Ciclo 2'!W$3:W1000,G72,'Ciclo 2'!H$3:H1000)+iferror(averageif('Ciclo 3'!V$3:V1000,G72,'Ciclo 3'!H$3:H1000),0)+iferror(averageif('Ciclo 3'!W$3:W1000,G72,'Ciclo 3'!H$3:H1000)+iferror(averageif('Ciclo 4'!V$3:V1000,G72,'Ciclo 4'!H$3:H1000),0)+iferror(averageif('Ciclo 4'!W$3:W1000,G72,'Ciclo 4'!H$3:H1000)+iferror(averageif('Ciclo 5'!V$3:V1000,G72,'Ciclo 5'!H$3:H1000),0)+iferror(averageif('Ciclo 5'!W$3:W1000,G72,'Ciclo 5'!H$3:H1000),0),""),""),""),""))</f>
        <v/>
      </c>
      <c r="K72" s="196" t="str">
        <f t="shared" si="2"/>
        <v/>
      </c>
    </row>
    <row r="73">
      <c r="E73" s="196"/>
      <c r="G73" s="195"/>
      <c r="H73" s="195" t="str">
        <f>if(G73="",, sumif('Ciclo 1'!P:P,G73,'Ciclo 1'!R:R)+sumif('Ciclo 2'!P:P,G73,'Ciclo 2'!R:R)+sumif('Ciclo 3'!P:P,G73,'Ciclo 3'!R:R)+sumif('Ciclo 4'!P:P,G73,'Ciclo 4'!R:R)+sumif('Ciclo 5'!P:P,G73,'Ciclo 5'!R:R))</f>
        <v/>
      </c>
      <c r="I73" s="198" t="str">
        <f>if(G73="",, sumif('Ciclo 1'!P:P,G73,'Ciclo 1'!Q:Q)+sumif('Ciclo 2'!P:P,G73,'Ciclo 2'!Q:Q)+sumif('Ciclo 3'!P:P,G73,'Ciclo 3'!Q:Q)+sumif('Ciclo 4'!P:P,G73,'Ciclo 4'!Q:Q)+sumif('Ciclo 5'!P:P,G73,'Ciclo 5'!Q:Q))</f>
        <v/>
      </c>
      <c r="J73" s="196" t="str">
        <f>if(G73="","", iferror(averageif('Ciclo 1'!V$3:V1000,G73,'Ciclo 1'!H$3:H1000),0)+iferror(averageif('Ciclo 1'!W$3:W1000,G73,'Ciclo 1'!H$3:H1000)+iferror(averageif('Ciclo 2'!V$3:V1000,G73,'Ciclo 2'!H$3:H1000),0)+iferror(averageif('Ciclo 2'!W$3:W1000,G73,'Ciclo 2'!H$3:H1000)+iferror(averageif('Ciclo 3'!V$3:V1000,G73,'Ciclo 3'!H$3:H1000),0)+iferror(averageif('Ciclo 3'!W$3:W1000,G73,'Ciclo 3'!H$3:H1000)+iferror(averageif('Ciclo 4'!V$3:V1000,G73,'Ciclo 4'!H$3:H1000),0)+iferror(averageif('Ciclo 4'!W$3:W1000,G73,'Ciclo 4'!H$3:H1000)+iferror(averageif('Ciclo 5'!V$3:V1000,G73,'Ciclo 5'!H$3:H1000),0)+iferror(averageif('Ciclo 5'!W$3:W1000,G73,'Ciclo 5'!H$3:H1000),0),""),""),""),""))</f>
        <v/>
      </c>
      <c r="K73" s="196" t="str">
        <f t="shared" si="2"/>
        <v/>
      </c>
    </row>
    <row r="74">
      <c r="H74" s="195" t="str">
        <f>if(G74="","", countif('Ciclo 1'!V:V,G74)+countif('Ciclo 1'!W:W,G74)+countif('Ciclo 2'!V:V,G74)+countif('Ciclo 2'!W:W,G74)+countif('Ciclo 3'!V:V,G74)+countif('Ciclo 3'!W:W,G74)+countif('Ciclo 4'!V:V,G74)+countif('Ciclo 4'!W:W,G74)+countif('Ciclo 5'!V:V,G74)+countif('Ciclo 5'!W:W,G74))</f>
        <v/>
      </c>
    </row>
    <row r="75">
      <c r="H75" s="195" t="str">
        <f>if(G75="","", countif('Ciclo 1'!V:V,G75)+countif('Ciclo 1'!W:W,G75)+countif('Ciclo 2'!V:V,G75)+countif('Ciclo 2'!W:W,G75)+countif('Ciclo 3'!V:V,G75)+countif('Ciclo 3'!W:W,G75)+countif('Ciclo 4'!V:V,G75)+countif('Ciclo 4'!W:W,G75)+countif('Ciclo 5'!V:V,G75)+countif('Ciclo 5'!W:W,G75))</f>
        <v/>
      </c>
    </row>
    <row r="76">
      <c r="H76" s="195" t="str">
        <f>if(G76="","", countif('Ciclo 1'!V:V,G76)+countif('Ciclo 1'!W:W,G76)+countif('Ciclo 2'!V:V,G76)+countif('Ciclo 2'!W:W,G76)+countif('Ciclo 3'!V:V,G76)+countif('Ciclo 3'!W:W,G76)+countif('Ciclo 4'!V:V,G76)+countif('Ciclo 4'!W:W,G76)+countif('Ciclo 5'!V:V,G76)+countif('Ciclo 5'!W:W,G76))</f>
        <v/>
      </c>
    </row>
    <row r="77">
      <c r="H77" s="195" t="str">
        <f>if(G77="","", countif('Ciclo 1'!V:V,G77)+countif('Ciclo 1'!W:W,G77)+countif('Ciclo 2'!V:V,G77)+countif('Ciclo 2'!W:W,G77)+countif('Ciclo 3'!V:V,G77)+countif('Ciclo 3'!W:W,G77)+countif('Ciclo 4'!V:V,G77)+countif('Ciclo 4'!W:W,G77)+countif('Ciclo 5'!V:V,G77)+countif('Ciclo 5'!W:W,G77))</f>
        <v/>
      </c>
    </row>
    <row r="78">
      <c r="H78" s="195" t="str">
        <f>if(G78="","", countif('Ciclo 1'!V:V,G78)+countif('Ciclo 1'!W:W,G78)+countif('Ciclo 2'!V:V,G78)+countif('Ciclo 2'!W:W,G78)+countif('Ciclo 3'!V:V,G78)+countif('Ciclo 3'!W:W,G78)+countif('Ciclo 4'!V:V,G78)+countif('Ciclo 4'!W:W,G78)+countif('Ciclo 5'!V:V,G78)+countif('Ciclo 5'!W:W,G78))</f>
        <v/>
      </c>
    </row>
    <row r="79">
      <c r="H79" s="195" t="str">
        <f>if(G79="","", countif('Ciclo 1'!V:V,G79)+countif('Ciclo 1'!W:W,G79)+countif('Ciclo 2'!V:V,G79)+countif('Ciclo 2'!W:W,G79)+countif('Ciclo 3'!V:V,G79)+countif('Ciclo 3'!W:W,G79)+countif('Ciclo 4'!V:V,G79)+countif('Ciclo 4'!W:W,G79)+countif('Ciclo 5'!V:V,G79)+countif('Ciclo 5'!W:W,G79))</f>
        <v/>
      </c>
    </row>
    <row r="80">
      <c r="H80" s="195" t="str">
        <f>if(G80="","", countif('Ciclo 1'!V:V,G80)+countif('Ciclo 1'!W:W,G80)+countif('Ciclo 2'!V:V,G80)+countif('Ciclo 2'!W:W,G80)+countif('Ciclo 3'!V:V,G80)+countif('Ciclo 3'!W:W,G80)+countif('Ciclo 4'!V:V,G80)+countif('Ciclo 4'!W:W,G80)+countif('Ciclo 5'!V:V,G80)+countif('Ciclo 5'!W:W,G80))</f>
        <v/>
      </c>
    </row>
    <row r="81">
      <c r="H81" s="195" t="str">
        <f>if(G81="","", countif('Ciclo 1'!V:V,G81)+countif('Ciclo 1'!W:W,G81)+countif('Ciclo 2'!V:V,G81)+countif('Ciclo 2'!W:W,G81)+countif('Ciclo 3'!V:V,G81)+countif('Ciclo 3'!W:W,G81)+countif('Ciclo 4'!V:V,G81)+countif('Ciclo 4'!W:W,G81)+countif('Ciclo 5'!V:V,G81)+countif('Ciclo 5'!W:W,G81))</f>
        <v/>
      </c>
    </row>
    <row r="82">
      <c r="H82" s="195" t="str">
        <f>if(G82="","", countif('Ciclo 1'!V:V,G82)+countif('Ciclo 1'!W:W,G82)+countif('Ciclo 2'!V:V,G82)+countif('Ciclo 2'!W:W,G82)+countif('Ciclo 3'!V:V,G82)+countif('Ciclo 3'!W:W,G82)+countif('Ciclo 4'!V:V,G82)+countif('Ciclo 4'!W:W,G82)+countif('Ciclo 5'!V:V,G82)+countif('Ciclo 5'!W:W,G82))</f>
        <v/>
      </c>
    </row>
    <row r="83">
      <c r="H83" s="195" t="str">
        <f>if(G83="","", countif('Ciclo 1'!V:V,G83)+countif('Ciclo 1'!W:W,G83)+countif('Ciclo 2'!V:V,G83)+countif('Ciclo 2'!W:W,G83)+countif('Ciclo 3'!V:V,G83)+countif('Ciclo 3'!W:W,G83)+countif('Ciclo 4'!V:V,G83)+countif('Ciclo 4'!W:W,G83)+countif('Ciclo 5'!V:V,G83)+countif('Ciclo 5'!W:W,G83))</f>
        <v/>
      </c>
    </row>
    <row r="84">
      <c r="H84" s="195" t="str">
        <f>if(G84="","", countif('Ciclo 1'!V:V,G84)+countif('Ciclo 1'!W:W,G84)+countif('Ciclo 2'!V:V,G84)+countif('Ciclo 2'!W:W,G84)+countif('Ciclo 3'!V:V,G84)+countif('Ciclo 3'!W:W,G84)+countif('Ciclo 4'!V:V,G84)+countif('Ciclo 4'!W:W,G84)+countif('Ciclo 5'!V:V,G84)+countif('Ciclo 5'!W:W,G84))</f>
        <v/>
      </c>
    </row>
    <row r="85">
      <c r="H85" s="195" t="str">
        <f>if(G85="","", countif('Ciclo 1'!V:V,G85)+countif('Ciclo 1'!W:W,G85)+countif('Ciclo 2'!V:V,G85)+countif('Ciclo 2'!W:W,G85)+countif('Ciclo 3'!V:V,G85)+countif('Ciclo 3'!W:W,G85)+countif('Ciclo 4'!V:V,G85)+countif('Ciclo 4'!W:W,G85)+countif('Ciclo 5'!V:V,G85)+countif('Ciclo 5'!W:W,G85))</f>
        <v/>
      </c>
    </row>
    <row r="86">
      <c r="H86" s="195" t="str">
        <f>if(G86="","", countif('Ciclo 1'!V:V,G86)+countif('Ciclo 1'!W:W,G86)+countif('Ciclo 2'!V:V,G86)+countif('Ciclo 2'!W:W,G86)+countif('Ciclo 3'!V:V,G86)+countif('Ciclo 3'!W:W,G86)+countif('Ciclo 4'!V:V,G86)+countif('Ciclo 4'!W:W,G86)+countif('Ciclo 5'!V:V,G86)+countif('Ciclo 5'!W:W,G86))</f>
        <v/>
      </c>
    </row>
    <row r="87">
      <c r="H87" s="195" t="str">
        <f>if(G87="","", countif('Ciclo 1'!V:V,G87)+countif('Ciclo 1'!W:W,G87)+countif('Ciclo 2'!V:V,G87)+countif('Ciclo 2'!W:W,G87)+countif('Ciclo 3'!V:V,G87)+countif('Ciclo 3'!W:W,G87)+countif('Ciclo 4'!V:V,G87)+countif('Ciclo 4'!W:W,G87)+countif('Ciclo 5'!V:V,G87)+countif('Ciclo 5'!W:W,G87))</f>
        <v/>
      </c>
    </row>
    <row r="88">
      <c r="H88" s="195" t="str">
        <f>if(G88="","", countif('Ciclo 1'!V:V,G88)+countif('Ciclo 1'!W:W,G88)+countif('Ciclo 2'!V:V,G88)+countif('Ciclo 2'!W:W,G88)+countif('Ciclo 3'!V:V,G88)+countif('Ciclo 3'!W:W,G88)+countif('Ciclo 4'!V:V,G88)+countif('Ciclo 4'!W:W,G88)+countif('Ciclo 5'!V:V,G88)+countif('Ciclo 5'!W:W,G88))</f>
        <v/>
      </c>
    </row>
    <row r="89">
      <c r="H89" s="195" t="str">
        <f>if(G89="","", countif('Ciclo 1'!V:V,G89)+countif('Ciclo 1'!W:W,G89)+countif('Ciclo 2'!V:V,G89)+countif('Ciclo 2'!W:W,G89)+countif('Ciclo 3'!V:V,G89)+countif('Ciclo 3'!W:W,G89)+countif('Ciclo 4'!V:V,G89)+countif('Ciclo 4'!W:W,G89)+countif('Ciclo 5'!V:V,G89)+countif('Ciclo 5'!W:W,G89))</f>
        <v/>
      </c>
    </row>
    <row r="90">
      <c r="H90" s="195" t="str">
        <f>if(G90="","", countif('Ciclo 1'!V:V,G90)+countif('Ciclo 1'!W:W,G90)+countif('Ciclo 2'!V:V,G90)+countif('Ciclo 2'!W:W,G90)+countif('Ciclo 3'!V:V,G90)+countif('Ciclo 3'!W:W,G90)+countif('Ciclo 4'!V:V,G90)+countif('Ciclo 4'!W:W,G90)+countif('Ciclo 5'!V:V,G90)+countif('Ciclo 5'!W:W,G90))</f>
        <v/>
      </c>
    </row>
    <row r="91">
      <c r="H91" s="195" t="str">
        <f>if(G91="","", countif('Ciclo 1'!V:V,G91)+countif('Ciclo 1'!W:W,G91)+countif('Ciclo 2'!V:V,G91)+countif('Ciclo 2'!W:W,G91)+countif('Ciclo 3'!V:V,G91)+countif('Ciclo 3'!W:W,G91)+countif('Ciclo 4'!V:V,G91)+countif('Ciclo 4'!W:W,G91)+countif('Ciclo 5'!V:V,G91)+countif('Ciclo 5'!W:W,G91))</f>
        <v/>
      </c>
    </row>
    <row r="92">
      <c r="H92" s="195" t="str">
        <f>if(G92="","", countif('Ciclo 1'!V:V,G92)+countif('Ciclo 1'!W:W,G92)+countif('Ciclo 2'!V:V,G92)+countif('Ciclo 2'!W:W,G92)+countif('Ciclo 3'!V:V,G92)+countif('Ciclo 3'!W:W,G92)+countif('Ciclo 4'!V:V,G92)+countif('Ciclo 4'!W:W,G92)+countif('Ciclo 5'!V:V,G92)+countif('Ciclo 5'!W:W,G92))</f>
        <v/>
      </c>
    </row>
    <row r="93">
      <c r="H93" s="195" t="str">
        <f>if(G93="","", countif('Ciclo 1'!V:V,G93)+countif('Ciclo 1'!W:W,G93)+countif('Ciclo 2'!V:V,G93)+countif('Ciclo 2'!W:W,G93)+countif('Ciclo 3'!V:V,G93)+countif('Ciclo 3'!W:W,G93)+countif('Ciclo 4'!V:V,G93)+countif('Ciclo 4'!W:W,G93)+countif('Ciclo 5'!V:V,G93)+countif('Ciclo 5'!W:W,G93))</f>
        <v/>
      </c>
    </row>
    <row r="94">
      <c r="H94" s="195" t="str">
        <f>if(G94="","", countif('Ciclo 1'!V:V,G94)+countif('Ciclo 1'!W:W,G94)+countif('Ciclo 2'!V:V,G94)+countif('Ciclo 2'!W:W,G94)+countif('Ciclo 3'!V:V,G94)+countif('Ciclo 3'!W:W,G94)+countif('Ciclo 4'!V:V,G94)+countif('Ciclo 4'!W:W,G94)+countif('Ciclo 5'!V:V,G94)+countif('Ciclo 5'!W:W,G94))</f>
        <v/>
      </c>
    </row>
    <row r="95">
      <c r="H95" s="195" t="str">
        <f>if(G95="","", countif('Ciclo 1'!V:V,G95)+countif('Ciclo 1'!W:W,G95)+countif('Ciclo 2'!V:V,G95)+countif('Ciclo 2'!W:W,G95)+countif('Ciclo 3'!V:V,G95)+countif('Ciclo 3'!W:W,G95)+countif('Ciclo 4'!V:V,G95)+countif('Ciclo 4'!W:W,G95)+countif('Ciclo 5'!V:V,G95)+countif('Ciclo 5'!W:W,G95))</f>
        <v/>
      </c>
    </row>
    <row r="96">
      <c r="H96" s="195" t="str">
        <f>if(G96="","", countif('Ciclo 1'!V:V,G96)+countif('Ciclo 1'!W:W,G96)+countif('Ciclo 2'!V:V,G96)+countif('Ciclo 2'!W:W,G96)+countif('Ciclo 3'!V:V,G96)+countif('Ciclo 3'!W:W,G96)+countif('Ciclo 4'!V:V,G96)+countif('Ciclo 4'!W:W,G96)+countif('Ciclo 5'!V:V,G96)+countif('Ciclo 5'!W:W,G96))</f>
        <v/>
      </c>
    </row>
    <row r="97">
      <c r="H97" s="195" t="str">
        <f>if(G97="","", countif('Ciclo 1'!V:V,G97)+countif('Ciclo 1'!W:W,G97)+countif('Ciclo 2'!V:V,G97)+countif('Ciclo 2'!W:W,G97)+countif('Ciclo 3'!V:V,G97)+countif('Ciclo 3'!W:W,G97)+countif('Ciclo 4'!V:V,G97)+countif('Ciclo 4'!W:W,G97)+countif('Ciclo 5'!V:V,G97)+countif('Ciclo 5'!W:W,G97))</f>
        <v/>
      </c>
    </row>
    <row r="98">
      <c r="H98" s="195" t="str">
        <f>if(G98="","", countif('Ciclo 1'!V:V,G98)+countif('Ciclo 1'!W:W,G98)+countif('Ciclo 2'!V:V,G98)+countif('Ciclo 2'!W:W,G98)+countif('Ciclo 3'!V:V,G98)+countif('Ciclo 3'!W:W,G98)+countif('Ciclo 4'!V:V,G98)+countif('Ciclo 4'!W:W,G98)+countif('Ciclo 5'!V:V,G98)+countif('Ciclo 5'!W:W,G98))</f>
        <v/>
      </c>
    </row>
    <row r="99">
      <c r="H99" s="195" t="str">
        <f>if(G99="","", countif('Ciclo 1'!V:V,G99)+countif('Ciclo 1'!W:W,G99)+countif('Ciclo 2'!V:V,G99)+countif('Ciclo 2'!W:W,G99)+countif('Ciclo 3'!V:V,G99)+countif('Ciclo 3'!W:W,G99)+countif('Ciclo 4'!V:V,G99)+countif('Ciclo 4'!W:W,G99)+countif('Ciclo 5'!V:V,G99)+countif('Ciclo 5'!W:W,G99))</f>
        <v/>
      </c>
    </row>
    <row r="100">
      <c r="H100" s="195" t="str">
        <f>if(G100="","", countif('Ciclo 1'!V:V,G100)+countif('Ciclo 1'!W:W,G100)+countif('Ciclo 2'!V:V,G100)+countif('Ciclo 2'!W:W,G100)+countif('Ciclo 3'!V:V,G100)+countif('Ciclo 3'!W:W,G100)+countif('Ciclo 4'!V:V,G100)+countif('Ciclo 4'!W:W,G100)+countif('Ciclo 5'!V:V,G100)+countif('Ciclo 5'!W:W,G100))</f>
        <v/>
      </c>
    </row>
    <row r="101">
      <c r="H101" s="195" t="str">
        <f>if(G101="","", countif('Ciclo 1'!V:V,G101)+countif('Ciclo 1'!W:W,G101)+countif('Ciclo 2'!V:V,G101)+countif('Ciclo 2'!W:W,G101)+countif('Ciclo 3'!V:V,G101)+countif('Ciclo 3'!W:W,G101)+countif('Ciclo 4'!V:V,G101)+countif('Ciclo 4'!W:W,G101)+countif('Ciclo 5'!V:V,G101)+countif('Ciclo 5'!W:W,G101))</f>
        <v/>
      </c>
    </row>
    <row r="102">
      <c r="H102" s="195" t="str">
        <f>if(G102="","", countif('Ciclo 1'!V:V,G102)+countif('Ciclo 1'!W:W,G102)+countif('Ciclo 2'!V:V,G102)+countif('Ciclo 2'!W:W,G102)+countif('Ciclo 3'!V:V,G102)+countif('Ciclo 3'!W:W,G102)+countif('Ciclo 4'!V:V,G102)+countif('Ciclo 4'!W:W,G102)+countif('Ciclo 5'!V:V,G102)+countif('Ciclo 5'!W:W,G102))</f>
        <v/>
      </c>
    </row>
    <row r="103">
      <c r="H103" s="195" t="str">
        <f>if(G103="","", countif('Ciclo 1'!V:V,G103)+countif('Ciclo 1'!W:W,G103)+countif('Ciclo 2'!V:V,G103)+countif('Ciclo 2'!W:W,G103)+countif('Ciclo 3'!V:V,G103)+countif('Ciclo 3'!W:W,G103)+countif('Ciclo 4'!V:V,G103)+countif('Ciclo 4'!W:W,G103)+countif('Ciclo 5'!V:V,G103)+countif('Ciclo 5'!W:W,G103))</f>
        <v/>
      </c>
    </row>
    <row r="104">
      <c r="H104" s="195" t="str">
        <f>if(G104="","", countif('Ciclo 1'!V:V,G104)+countif('Ciclo 1'!W:W,G104)+countif('Ciclo 2'!V:V,G104)+countif('Ciclo 2'!W:W,G104)+countif('Ciclo 3'!V:V,G104)+countif('Ciclo 3'!W:W,G104)+countif('Ciclo 4'!V:V,G104)+countif('Ciclo 4'!W:W,G104)+countif('Ciclo 5'!V:V,G104)+countif('Ciclo 5'!W:W,G104))</f>
        <v/>
      </c>
    </row>
    <row r="105">
      <c r="H105" s="195" t="str">
        <f>if(G105="","", countif('Ciclo 1'!V:V,G105)+countif('Ciclo 1'!W:W,G105)+countif('Ciclo 2'!V:V,G105)+countif('Ciclo 2'!W:W,G105)+countif('Ciclo 3'!V:V,G105)+countif('Ciclo 3'!W:W,G105)+countif('Ciclo 4'!V:V,G105)+countif('Ciclo 4'!W:W,G105)+countif('Ciclo 5'!V:V,G105)+countif('Ciclo 5'!W:W,G105))</f>
        <v/>
      </c>
    </row>
    <row r="106">
      <c r="H106" s="195" t="str">
        <f>if(G106="","", countif('Ciclo 1'!V:V,G106)+countif('Ciclo 1'!W:W,G106)+countif('Ciclo 2'!V:V,G106)+countif('Ciclo 2'!W:W,G106)+countif('Ciclo 3'!V:V,G106)+countif('Ciclo 3'!W:W,G106)+countif('Ciclo 4'!V:V,G106)+countif('Ciclo 4'!W:W,G106)+countif('Ciclo 5'!V:V,G106)+countif('Ciclo 5'!W:W,G106))</f>
        <v/>
      </c>
    </row>
    <row r="107">
      <c r="H107" s="195" t="str">
        <f>if(G107="","", countif('Ciclo 1'!V:V,G107)+countif('Ciclo 1'!W:W,G107)+countif('Ciclo 2'!V:V,G107)+countif('Ciclo 2'!W:W,G107)+countif('Ciclo 3'!V:V,G107)+countif('Ciclo 3'!W:W,G107)+countif('Ciclo 4'!V:V,G107)+countif('Ciclo 4'!W:W,G107)+countif('Ciclo 5'!V:V,G107)+countif('Ciclo 5'!W:W,G107))</f>
        <v/>
      </c>
    </row>
    <row r="108">
      <c r="H108" s="195" t="str">
        <f>if(G108="","", countif('Ciclo 1'!V:V,G108)+countif('Ciclo 1'!W:W,G108)+countif('Ciclo 2'!V:V,G108)+countif('Ciclo 2'!W:W,G108)+countif('Ciclo 3'!V:V,G108)+countif('Ciclo 3'!W:W,G108)+countif('Ciclo 4'!V:V,G108)+countif('Ciclo 4'!W:W,G108)+countif('Ciclo 5'!V:V,G108)+countif('Ciclo 5'!W:W,G108))</f>
        <v/>
      </c>
    </row>
    <row r="109">
      <c r="H109" s="195" t="str">
        <f>if(G109="","", countif('Ciclo 1'!V:V,G109)+countif('Ciclo 1'!W:W,G109)+countif('Ciclo 2'!V:V,G109)+countif('Ciclo 2'!W:W,G109)+countif('Ciclo 3'!V:V,G109)+countif('Ciclo 3'!W:W,G109)+countif('Ciclo 4'!V:V,G109)+countif('Ciclo 4'!W:W,G109)+countif('Ciclo 5'!V:V,G109)+countif('Ciclo 5'!W:W,G109))</f>
        <v/>
      </c>
    </row>
    <row r="110">
      <c r="H110" s="195" t="str">
        <f>if(G110="","", countif('Ciclo 1'!V:V,G110)+countif('Ciclo 1'!W:W,G110)+countif('Ciclo 2'!V:V,G110)+countif('Ciclo 2'!W:W,G110)+countif('Ciclo 3'!V:V,G110)+countif('Ciclo 3'!W:W,G110)+countif('Ciclo 4'!V:V,G110)+countif('Ciclo 4'!W:W,G110)+countif('Ciclo 5'!V:V,G110)+countif('Ciclo 5'!W:W,G110))</f>
        <v/>
      </c>
    </row>
    <row r="111">
      <c r="H111" s="195" t="str">
        <f>if(G111="","", countif('Ciclo 1'!V:V,G111)+countif('Ciclo 1'!W:W,G111)+countif('Ciclo 2'!V:V,G111)+countif('Ciclo 2'!W:W,G111)+countif('Ciclo 3'!V:V,G111)+countif('Ciclo 3'!W:W,G111)+countif('Ciclo 4'!V:V,G111)+countif('Ciclo 4'!W:W,G111)+countif('Ciclo 5'!V:V,G111)+countif('Ciclo 5'!W:W,G111))</f>
        <v/>
      </c>
    </row>
    <row r="112">
      <c r="H112" s="195" t="str">
        <f>if(G112="","", countif('Ciclo 1'!V:V,G112)+countif('Ciclo 1'!W:W,G112)+countif('Ciclo 2'!V:V,G112)+countif('Ciclo 2'!W:W,G112)+countif('Ciclo 3'!V:V,G112)+countif('Ciclo 3'!W:W,G112)+countif('Ciclo 4'!V:V,G112)+countif('Ciclo 4'!W:W,G112)+countif('Ciclo 5'!V:V,G112)+countif('Ciclo 5'!W:W,G112))</f>
        <v/>
      </c>
    </row>
    <row r="113">
      <c r="H113" s="195" t="str">
        <f>if(G113="","", countif('Ciclo 1'!V:V,G113)+countif('Ciclo 1'!W:W,G113)+countif('Ciclo 2'!V:V,G113)+countif('Ciclo 2'!W:W,G113)+countif('Ciclo 3'!V:V,G113)+countif('Ciclo 3'!W:W,G113)+countif('Ciclo 4'!V:V,G113)+countif('Ciclo 4'!W:W,G113)+countif('Ciclo 5'!V:V,G113)+countif('Ciclo 5'!W:W,G113))</f>
        <v/>
      </c>
    </row>
    <row r="114">
      <c r="H114" s="195" t="str">
        <f>if(G114="","", countif('Ciclo 1'!V:V,G114)+countif('Ciclo 1'!W:W,G114)+countif('Ciclo 2'!V:V,G114)+countif('Ciclo 2'!W:W,G114)+countif('Ciclo 3'!V:V,G114)+countif('Ciclo 3'!W:W,G114)+countif('Ciclo 4'!V:V,G114)+countif('Ciclo 4'!W:W,G114)+countif('Ciclo 5'!V:V,G114)+countif('Ciclo 5'!W:W,G114))</f>
        <v/>
      </c>
    </row>
    <row r="115">
      <c r="H115" s="195" t="str">
        <f>if(G115="","", countif('Ciclo 1'!V:V,G115)+countif('Ciclo 1'!W:W,G115)+countif('Ciclo 2'!V:V,G115)+countif('Ciclo 2'!W:W,G115)+countif('Ciclo 3'!V:V,G115)+countif('Ciclo 3'!W:W,G115)+countif('Ciclo 4'!V:V,G115)+countif('Ciclo 4'!W:W,G115)+countif('Ciclo 5'!V:V,G115)+countif('Ciclo 5'!W:W,G115))</f>
        <v/>
      </c>
    </row>
    <row r="116">
      <c r="H116" s="195" t="str">
        <f>if(G116="","", countif('Ciclo 1'!V:V,G116)+countif('Ciclo 1'!W:W,G116)+countif('Ciclo 2'!V:V,G116)+countif('Ciclo 2'!W:W,G116)+countif('Ciclo 3'!V:V,G116)+countif('Ciclo 3'!W:W,G116)+countif('Ciclo 4'!V:V,G116)+countif('Ciclo 4'!W:W,G116)+countif('Ciclo 5'!V:V,G116)+countif('Ciclo 5'!W:W,G116))</f>
        <v/>
      </c>
    </row>
    <row r="117">
      <c r="H117" s="195" t="str">
        <f>if(G117="","", countif('Ciclo 1'!V:V,G117)+countif('Ciclo 1'!W:W,G117)+countif('Ciclo 2'!V:V,G117)+countif('Ciclo 2'!W:W,G117)+countif('Ciclo 3'!V:V,G117)+countif('Ciclo 3'!W:W,G117)+countif('Ciclo 4'!V:V,G117)+countif('Ciclo 4'!W:W,G117)+countif('Ciclo 5'!V:V,G117)+countif('Ciclo 5'!W:W,G117))</f>
        <v/>
      </c>
    </row>
    <row r="118">
      <c r="H118" s="195" t="str">
        <f>if(G118="","", countif('Ciclo 1'!V:V,G118)+countif('Ciclo 1'!W:W,G118)+countif('Ciclo 2'!V:V,G118)+countif('Ciclo 2'!W:W,G118)+countif('Ciclo 3'!V:V,G118)+countif('Ciclo 3'!W:W,G118)+countif('Ciclo 4'!V:V,G118)+countif('Ciclo 4'!W:W,G118)+countif('Ciclo 5'!V:V,G118)+countif('Ciclo 5'!W:W,G118))</f>
        <v/>
      </c>
    </row>
    <row r="119">
      <c r="H119" s="195" t="str">
        <f>if(G119="","", countif('Ciclo 1'!V:V,G119)+countif('Ciclo 1'!W:W,G119)+countif('Ciclo 2'!V:V,G119)+countif('Ciclo 2'!W:W,G119)+countif('Ciclo 3'!V:V,G119)+countif('Ciclo 3'!W:W,G119)+countif('Ciclo 4'!V:V,G119)+countif('Ciclo 4'!W:W,G119)+countif('Ciclo 5'!V:V,G119)+countif('Ciclo 5'!W:W,G119))</f>
        <v/>
      </c>
    </row>
    <row r="120">
      <c r="H120" s="195" t="str">
        <f>if(G120="","", countif('Ciclo 1'!V:V,G120)+countif('Ciclo 1'!W:W,G120)+countif('Ciclo 2'!V:V,G120)+countif('Ciclo 2'!W:W,G120)+countif('Ciclo 3'!V:V,G120)+countif('Ciclo 3'!W:W,G120)+countif('Ciclo 4'!V:V,G120)+countif('Ciclo 4'!W:W,G120)+countif('Ciclo 5'!V:V,G120)+countif('Ciclo 5'!W:W,G120))</f>
        <v/>
      </c>
    </row>
    <row r="121">
      <c r="H121" s="195" t="str">
        <f>if(G121="","", countif('Ciclo 1'!V:V,G121)+countif('Ciclo 1'!W:W,G121)+countif('Ciclo 2'!V:V,G121)+countif('Ciclo 2'!W:W,G121)+countif('Ciclo 3'!V:V,G121)+countif('Ciclo 3'!W:W,G121)+countif('Ciclo 4'!V:V,G121)+countif('Ciclo 4'!W:W,G121)+countif('Ciclo 5'!V:V,G121)+countif('Ciclo 5'!W:W,G121))</f>
        <v/>
      </c>
    </row>
    <row r="122">
      <c r="H122" s="195" t="str">
        <f>if(G122="","", countif('Ciclo 1'!V:V,G122)+countif('Ciclo 1'!W:W,G122)+countif('Ciclo 2'!V:V,G122)+countif('Ciclo 2'!W:W,G122)+countif('Ciclo 3'!V:V,G122)+countif('Ciclo 3'!W:W,G122)+countif('Ciclo 4'!V:V,G122)+countif('Ciclo 4'!W:W,G122)+countif('Ciclo 5'!V:V,G122)+countif('Ciclo 5'!W:W,G122))</f>
        <v/>
      </c>
    </row>
    <row r="123">
      <c r="H123" s="195" t="str">
        <f>if(G123="","", countif('Ciclo 1'!V:V,G123)+countif('Ciclo 1'!W:W,G123)+countif('Ciclo 2'!V:V,G123)+countif('Ciclo 2'!W:W,G123)+countif('Ciclo 3'!V:V,G123)+countif('Ciclo 3'!W:W,G123)+countif('Ciclo 4'!V:V,G123)+countif('Ciclo 4'!W:W,G123)+countif('Ciclo 5'!V:V,G123)+countif('Ciclo 5'!W:W,G123))</f>
        <v/>
      </c>
    </row>
    <row r="124">
      <c r="H124" s="195" t="str">
        <f>if(G124="","", countif('Ciclo 1'!V:V,G124)+countif('Ciclo 1'!W:W,G124)+countif('Ciclo 2'!V:V,G124)+countif('Ciclo 2'!W:W,G124)+countif('Ciclo 3'!V:V,G124)+countif('Ciclo 3'!W:W,G124)+countif('Ciclo 4'!V:V,G124)+countif('Ciclo 4'!W:W,G124)+countif('Ciclo 5'!V:V,G124)+countif('Ciclo 5'!W:W,G124))</f>
        <v/>
      </c>
    </row>
    <row r="125">
      <c r="H125" s="195" t="str">
        <f>if(G125="","", countif('Ciclo 1'!V:V,G125)+countif('Ciclo 1'!W:W,G125)+countif('Ciclo 2'!V:V,G125)+countif('Ciclo 2'!W:W,G125)+countif('Ciclo 3'!V:V,G125)+countif('Ciclo 3'!W:W,G125)+countif('Ciclo 4'!V:V,G125)+countif('Ciclo 4'!W:W,G125)+countif('Ciclo 5'!V:V,G125)+countif('Ciclo 5'!W:W,G125))</f>
        <v/>
      </c>
    </row>
    <row r="126">
      <c r="H126" s="195" t="str">
        <f>if(G126="","", countif('Ciclo 1'!V:V,G126)+countif('Ciclo 1'!W:W,G126)+countif('Ciclo 2'!V:V,G126)+countif('Ciclo 2'!W:W,G126)+countif('Ciclo 3'!V:V,G126)+countif('Ciclo 3'!W:W,G126)+countif('Ciclo 4'!V:V,G126)+countif('Ciclo 4'!W:W,G126)+countif('Ciclo 5'!V:V,G126)+countif('Ciclo 5'!W:W,G126))</f>
        <v/>
      </c>
    </row>
    <row r="127">
      <c r="H127" s="195" t="str">
        <f>if(G127="","", countif('Ciclo 1'!V:V,G127)+countif('Ciclo 1'!W:W,G127)+countif('Ciclo 2'!V:V,G127)+countif('Ciclo 2'!W:W,G127)+countif('Ciclo 3'!V:V,G127)+countif('Ciclo 3'!W:W,G127)+countif('Ciclo 4'!V:V,G127)+countif('Ciclo 4'!W:W,G127)+countif('Ciclo 5'!V:V,G127)+countif('Ciclo 5'!W:W,G127))</f>
        <v/>
      </c>
    </row>
    <row r="128">
      <c r="H128" s="195" t="str">
        <f>if(G128="","", countif('Ciclo 1'!V:V,G128)+countif('Ciclo 1'!W:W,G128)+countif('Ciclo 2'!V:V,G128)+countif('Ciclo 2'!W:W,G128)+countif('Ciclo 3'!V:V,G128)+countif('Ciclo 3'!W:W,G128)+countif('Ciclo 4'!V:V,G128)+countif('Ciclo 4'!W:W,G128)+countif('Ciclo 5'!V:V,G128)+countif('Ciclo 5'!W:W,G128))</f>
        <v/>
      </c>
    </row>
    <row r="129">
      <c r="H129" s="195" t="str">
        <f>if(G129="","", countif('Ciclo 1'!V:V,G129)+countif('Ciclo 1'!W:W,G129)+countif('Ciclo 2'!V:V,G129)+countif('Ciclo 2'!W:W,G129)+countif('Ciclo 3'!V:V,G129)+countif('Ciclo 3'!W:W,G129)+countif('Ciclo 4'!V:V,G129)+countif('Ciclo 4'!W:W,G129)+countif('Ciclo 5'!V:V,G129)+countif('Ciclo 5'!W:W,G129))</f>
        <v/>
      </c>
    </row>
    <row r="130">
      <c r="H130" s="195" t="str">
        <f>if(G130="","", countif('Ciclo 1'!V:V,G130)+countif('Ciclo 1'!W:W,G130)+countif('Ciclo 2'!V:V,G130)+countif('Ciclo 2'!W:W,G130)+countif('Ciclo 3'!V:V,G130)+countif('Ciclo 3'!W:W,G130)+countif('Ciclo 4'!V:V,G130)+countif('Ciclo 4'!W:W,G130)+countif('Ciclo 5'!V:V,G130)+countif('Ciclo 5'!W:W,G130))</f>
        <v/>
      </c>
    </row>
    <row r="131">
      <c r="H131" s="195" t="str">
        <f>if(G131="","", countif('Ciclo 1'!V:V,G131)+countif('Ciclo 1'!W:W,G131)+countif('Ciclo 2'!V:V,G131)+countif('Ciclo 2'!W:W,G131)+countif('Ciclo 3'!V:V,G131)+countif('Ciclo 3'!W:W,G131)+countif('Ciclo 4'!V:V,G131)+countif('Ciclo 4'!W:W,G131)+countif('Ciclo 5'!V:V,G131)+countif('Ciclo 5'!W:W,G131))</f>
        <v/>
      </c>
    </row>
    <row r="132">
      <c r="H132" s="195" t="str">
        <f>if(G132="","", countif('Ciclo 1'!V:V,G132)+countif('Ciclo 1'!W:W,G132)+countif('Ciclo 2'!V:V,G132)+countif('Ciclo 2'!W:W,G132)+countif('Ciclo 3'!V:V,G132)+countif('Ciclo 3'!W:W,G132)+countif('Ciclo 4'!V:V,G132)+countif('Ciclo 4'!W:W,G132)+countif('Ciclo 5'!V:V,G132)+countif('Ciclo 5'!W:W,G132))</f>
        <v/>
      </c>
    </row>
    <row r="133">
      <c r="H133" s="195" t="str">
        <f>if(G133="","", countif('Ciclo 1'!V:V,G133)+countif('Ciclo 1'!W:W,G133)+countif('Ciclo 2'!V:V,G133)+countif('Ciclo 2'!W:W,G133)+countif('Ciclo 3'!V:V,G133)+countif('Ciclo 3'!W:W,G133)+countif('Ciclo 4'!V:V,G133)+countif('Ciclo 4'!W:W,G133)+countif('Ciclo 5'!V:V,G133)+countif('Ciclo 5'!W:W,G133))</f>
        <v/>
      </c>
    </row>
    <row r="134">
      <c r="H134" s="195" t="str">
        <f>if(G134="","", countif('Ciclo 1'!V:V,G134)+countif('Ciclo 1'!W:W,G134)+countif('Ciclo 2'!V:V,G134)+countif('Ciclo 2'!W:W,G134)+countif('Ciclo 3'!V:V,G134)+countif('Ciclo 3'!W:W,G134)+countif('Ciclo 4'!V:V,G134)+countif('Ciclo 4'!W:W,G134)+countif('Ciclo 5'!V:V,G134)+countif('Ciclo 5'!W:W,G134))</f>
        <v/>
      </c>
    </row>
    <row r="135">
      <c r="H135" s="195" t="str">
        <f>if(G135="","", countif('Ciclo 1'!V:V,G135)+countif('Ciclo 1'!W:W,G135)+countif('Ciclo 2'!V:V,G135)+countif('Ciclo 2'!W:W,G135)+countif('Ciclo 3'!V:V,G135)+countif('Ciclo 3'!W:W,G135)+countif('Ciclo 4'!V:V,G135)+countif('Ciclo 4'!W:W,G135)+countif('Ciclo 5'!V:V,G135)+countif('Ciclo 5'!W:W,G135))</f>
        <v/>
      </c>
    </row>
    <row r="136">
      <c r="H136" s="195" t="str">
        <f>if(G136="","", countif('Ciclo 1'!V:V,G136)+countif('Ciclo 1'!W:W,G136)+countif('Ciclo 2'!V:V,G136)+countif('Ciclo 2'!W:W,G136)+countif('Ciclo 3'!V:V,G136)+countif('Ciclo 3'!W:W,G136)+countif('Ciclo 4'!V:V,G136)+countif('Ciclo 4'!W:W,G136)+countif('Ciclo 5'!V:V,G136)+countif('Ciclo 5'!W:W,G136))</f>
        <v/>
      </c>
    </row>
    <row r="137">
      <c r="H137" s="195" t="str">
        <f>if(G137="","", countif('Ciclo 1'!V:V,G137)+countif('Ciclo 1'!W:W,G137)+countif('Ciclo 2'!V:V,G137)+countif('Ciclo 2'!W:W,G137)+countif('Ciclo 3'!V:V,G137)+countif('Ciclo 3'!W:W,G137)+countif('Ciclo 4'!V:V,G137)+countif('Ciclo 4'!W:W,G137)+countif('Ciclo 5'!V:V,G137)+countif('Ciclo 5'!W:W,G137))</f>
        <v/>
      </c>
    </row>
    <row r="138">
      <c r="H138" s="195" t="str">
        <f>if(G138="","", countif('Ciclo 1'!V:V,G138)+countif('Ciclo 1'!W:W,G138)+countif('Ciclo 2'!V:V,G138)+countif('Ciclo 2'!W:W,G138)+countif('Ciclo 3'!V:V,G138)+countif('Ciclo 3'!W:W,G138)+countif('Ciclo 4'!V:V,G138)+countif('Ciclo 4'!W:W,G138)+countif('Ciclo 5'!V:V,G138)+countif('Ciclo 5'!W:W,G138))</f>
        <v/>
      </c>
    </row>
    <row r="139">
      <c r="H139" s="195" t="str">
        <f>if(G139="","", countif('Ciclo 1'!V:V,G139)+countif('Ciclo 1'!W:W,G139)+countif('Ciclo 2'!V:V,G139)+countif('Ciclo 2'!W:W,G139)+countif('Ciclo 3'!V:V,G139)+countif('Ciclo 3'!W:W,G139)+countif('Ciclo 4'!V:V,G139)+countif('Ciclo 4'!W:W,G139)+countif('Ciclo 5'!V:V,G139)+countif('Ciclo 5'!W:W,G139))</f>
        <v/>
      </c>
    </row>
    <row r="140">
      <c r="H140" s="195" t="str">
        <f>if(G140="","", countif('Ciclo 1'!V:V,G140)+countif('Ciclo 1'!W:W,G140)+countif('Ciclo 2'!V:V,G140)+countif('Ciclo 2'!W:W,G140)+countif('Ciclo 3'!V:V,G140)+countif('Ciclo 3'!W:W,G140)+countif('Ciclo 4'!V:V,G140)+countif('Ciclo 4'!W:W,G140)+countif('Ciclo 5'!V:V,G140)+countif('Ciclo 5'!W:W,G140))</f>
        <v/>
      </c>
    </row>
    <row r="141">
      <c r="H141" s="195" t="str">
        <f>if(G141="","", countif('Ciclo 1'!V:V,G141)+countif('Ciclo 1'!W:W,G141)+countif('Ciclo 2'!V:V,G141)+countif('Ciclo 2'!W:W,G141)+countif('Ciclo 3'!V:V,G141)+countif('Ciclo 3'!W:W,G141)+countif('Ciclo 4'!V:V,G141)+countif('Ciclo 4'!W:W,G141)+countif('Ciclo 5'!V:V,G141)+countif('Ciclo 5'!W:W,G141))</f>
        <v/>
      </c>
    </row>
    <row r="142">
      <c r="H142" s="195" t="str">
        <f>if(G142="","", countif('Ciclo 1'!V:V,G142)+countif('Ciclo 1'!W:W,G142)+countif('Ciclo 2'!V:V,G142)+countif('Ciclo 2'!W:W,G142)+countif('Ciclo 3'!V:V,G142)+countif('Ciclo 3'!W:W,G142)+countif('Ciclo 4'!V:V,G142)+countif('Ciclo 4'!W:W,G142)+countif('Ciclo 5'!V:V,G142)+countif('Ciclo 5'!W:W,G142))</f>
        <v/>
      </c>
    </row>
    <row r="143">
      <c r="H143" s="195" t="str">
        <f>if(G143="","", countif('Ciclo 1'!V:V,G143)+countif('Ciclo 1'!W:W,G143)+countif('Ciclo 2'!V:V,G143)+countif('Ciclo 2'!W:W,G143)+countif('Ciclo 3'!V:V,G143)+countif('Ciclo 3'!W:W,G143)+countif('Ciclo 4'!V:V,G143)+countif('Ciclo 4'!W:W,G143)+countif('Ciclo 5'!V:V,G143)+countif('Ciclo 5'!W:W,G143))</f>
        <v/>
      </c>
    </row>
    <row r="144">
      <c r="H144" s="195" t="str">
        <f>if(G144="","", countif('Ciclo 1'!V:V,G144)+countif('Ciclo 1'!W:W,G144)+countif('Ciclo 2'!V:V,G144)+countif('Ciclo 2'!W:W,G144)+countif('Ciclo 3'!V:V,G144)+countif('Ciclo 3'!W:W,G144)+countif('Ciclo 4'!V:V,G144)+countif('Ciclo 4'!W:W,G144)+countif('Ciclo 5'!V:V,G144)+countif('Ciclo 5'!W:W,G144))</f>
        <v/>
      </c>
    </row>
    <row r="145">
      <c r="H145" s="195" t="str">
        <f>if(G145="","", countif('Ciclo 1'!V:V,G145)+countif('Ciclo 1'!W:W,G145)+countif('Ciclo 2'!V:V,G145)+countif('Ciclo 2'!W:W,G145)+countif('Ciclo 3'!V:V,G145)+countif('Ciclo 3'!W:W,G145)+countif('Ciclo 4'!V:V,G145)+countif('Ciclo 4'!W:W,G145)+countif('Ciclo 5'!V:V,G145)+countif('Ciclo 5'!W:W,G145))</f>
        <v/>
      </c>
    </row>
    <row r="146">
      <c r="H146" s="195" t="str">
        <f>if(G146="","", countif('Ciclo 1'!V:V,G146)+countif('Ciclo 1'!W:W,G146)+countif('Ciclo 2'!V:V,G146)+countif('Ciclo 2'!W:W,G146)+countif('Ciclo 3'!V:V,G146)+countif('Ciclo 3'!W:W,G146)+countif('Ciclo 4'!V:V,G146)+countif('Ciclo 4'!W:W,G146)+countif('Ciclo 5'!V:V,G146)+countif('Ciclo 5'!W:W,G146))</f>
        <v/>
      </c>
    </row>
    <row r="147">
      <c r="H147" s="195" t="str">
        <f>if(G147="","", countif('Ciclo 1'!V:V,G147)+countif('Ciclo 1'!W:W,G147)+countif('Ciclo 2'!V:V,G147)+countif('Ciclo 2'!W:W,G147)+countif('Ciclo 3'!V:V,G147)+countif('Ciclo 3'!W:W,G147)+countif('Ciclo 4'!V:V,G147)+countif('Ciclo 4'!W:W,G147)+countif('Ciclo 5'!V:V,G147)+countif('Ciclo 5'!W:W,G147))</f>
        <v/>
      </c>
    </row>
    <row r="148">
      <c r="H148" s="195" t="str">
        <f>if(G148="","", countif('Ciclo 1'!V:V,G148)+countif('Ciclo 1'!W:W,G148)+countif('Ciclo 2'!V:V,G148)+countif('Ciclo 2'!W:W,G148)+countif('Ciclo 3'!V:V,G148)+countif('Ciclo 3'!W:W,G148)+countif('Ciclo 4'!V:V,G148)+countif('Ciclo 4'!W:W,G148)+countif('Ciclo 5'!V:V,G148)+countif('Ciclo 5'!W:W,G148))</f>
        <v/>
      </c>
    </row>
    <row r="149">
      <c r="H149" s="195" t="str">
        <f>if(G149="","", countif('Ciclo 1'!V:V,G149)+countif('Ciclo 1'!W:W,G149)+countif('Ciclo 2'!V:V,G149)+countif('Ciclo 2'!W:W,G149)+countif('Ciclo 3'!V:V,G149)+countif('Ciclo 3'!W:W,G149)+countif('Ciclo 4'!V:V,G149)+countif('Ciclo 4'!W:W,G149)+countif('Ciclo 5'!V:V,G149)+countif('Ciclo 5'!W:W,G149))</f>
        <v/>
      </c>
    </row>
    <row r="150">
      <c r="H150" s="195" t="str">
        <f>if(G150="","", countif('Ciclo 1'!V:V,G150)+countif('Ciclo 1'!W:W,G150)+countif('Ciclo 2'!V:V,G150)+countif('Ciclo 2'!W:W,G150)+countif('Ciclo 3'!V:V,G150)+countif('Ciclo 3'!W:W,G150)+countif('Ciclo 4'!V:V,G150)+countif('Ciclo 4'!W:W,G150)+countif('Ciclo 5'!V:V,G150)+countif('Ciclo 5'!W:W,G150))</f>
        <v/>
      </c>
    </row>
  </sheetData>
  <drawing r:id="rId1"/>
  <tableParts count="2">
    <tablePart r:id="rId4"/>
    <tablePart r:id="rId5"/>
  </tableParts>
</worksheet>
</file>